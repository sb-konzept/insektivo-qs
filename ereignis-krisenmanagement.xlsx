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DieseArbeitsmappe"/>
  <mc:AlternateContent xmlns:mc="http://schemas.openxmlformats.org/markup-compatibility/2006">
    <mc:Choice Requires="x15">
      <x15ac:absPath xmlns:x15ac="http://schemas.microsoft.com/office/spreadsheetml/2010/11/ac" url="https://agriso.sharepoint.com/sites/AgritechInnovation2/Freigegebene Dokumente/General/05_Insektivo_temporärer Ordner/QS-Zertifizierung Private Labelling/2.1.4_Rückverfolgbarkeit/"/>
    </mc:Choice>
  </mc:AlternateContent>
  <xr:revisionPtr revIDLastSave="552" documentId="8_{4054598E-E5D6-48A7-BC15-ECBD1E2874D5}" xr6:coauthVersionLast="47" xr6:coauthVersionMax="47" xr10:uidLastSave="{962886B3-B707-4437-9A70-94D0035E745F}"/>
  <bookViews>
    <workbookView xWindow="-120" yWindow="-120" windowWidth="29040" windowHeight="15720" tabRatio="921" activeTab="2" xr2:uid="{00000000-000D-0000-FFFF-FFFF00000000}"/>
  </bookViews>
  <sheets>
    <sheet name="Zugelassene Speditionen" sheetId="100" r:id="rId1"/>
    <sheet name="Zugelassene Lieferanten" sheetId="99" r:id="rId2"/>
    <sheet name="Informationen zu Lieferanten" sheetId="96" r:id="rId3"/>
    <sheet name="Informationen zu Kunden" sheetId="98" r:id="rId4"/>
    <sheet name="Rückverfolgbarkeitsprobe Liefer" sheetId="95" r:id="rId5"/>
    <sheet name="Rückverfolgbarkeitsprobe Kunde" sheetId="93" r:id="rId6"/>
    <sheet name="Hilfstabellen" sheetId="90" state="hidden" r:id="rId7"/>
    <sheet name="G&amp;V" sheetId="80" state="hidden" r:id="rId8"/>
    <sheet name="AfA" sheetId="27" state="hidden" r:id="rId9"/>
  </sheets>
  <externalReferences>
    <externalReference r:id="rId10"/>
    <externalReference r:id="rId11"/>
    <externalReference r:id="rId12"/>
    <externalReference r:id="rId13"/>
    <externalReference r:id="rId14"/>
    <externalReference r:id="rId15"/>
    <externalReference r:id="rId16"/>
  </externalReferences>
  <definedNames>
    <definedName name="_C">#REF!,#REF!,#REF!,#REF!</definedName>
    <definedName name="_xlnm._FilterDatabase" localSheetId="2" hidden="1">'Informationen zu Lieferanten'!$A$8:$I$25</definedName>
    <definedName name="_KAW999929" hidden="1">#REF!</definedName>
    <definedName name="_KAW999934" hidden="1">#REF!</definedName>
    <definedName name="A">#REF!,#REF!,#REF!</definedName>
    <definedName name="Ablauf_Zinsbindung_ERP_Ost">[1]Eingabeblatt_Finanzierung!$H$49</definedName>
    <definedName name="Ablauf_Zinsbindung_ERP_West">[1]Eingabeblatt_Finanzierung!$D$49</definedName>
    <definedName name="Ablauf_Zinsbindung_KfW_Umwelt">[1]Eingabeblatt_Finanzierung!$L$49</definedName>
    <definedName name="aktuelles_Jahr">#REF!</definedName>
    <definedName name="Anschlusszinssatz_ERP_Ost">[1]Eingabeblatt_Finanzierung!$H$50</definedName>
    <definedName name="Anschlusszinssatz_ERP_West">[1]Eingabeblatt_Finanzierung!$D$50</definedName>
    <definedName name="Anschlusszinssatz_KfW">[1]Eingabeblatt_Finanzierung!$L$50</definedName>
    <definedName name="Anzahl_Projekte">[1]Eingabeblatt_Wirtschaft!$F$69</definedName>
    <definedName name="B">#REF!,#REF!,#REF!,#REF!</definedName>
    <definedName name="BAB">0</definedName>
    <definedName name="BABNummern">0</definedName>
    <definedName name="Bankfinanzierung">#REF!</definedName>
    <definedName name="Beginn_Fondsverwaltung">[1]Eingabeblatt_Wirtschaft!$F$50</definedName>
    <definedName name="Beginn_Pacht_Bad_Arolsen">[1]Eingabeblatt_Wirtschaft!$J$48</definedName>
    <definedName name="Beginn_Pacht_GVZ_Leipzig">[1]Eingabeblatt_Wirtschaft!$I$48</definedName>
    <definedName name="Beginn_Pacht_Langelsheim">[1]Eingabeblatt_Wirtschaft!$H$48</definedName>
    <definedName name="Beginn_Pacht_Niedersachsenpark">[1]Eingabeblatt_Wirtschaft!$K$48</definedName>
    <definedName name="Beginn_Pacht_Niesky">[1]Eingabeblatt_Wirtschaft!$L$48</definedName>
    <definedName name="Beginn_Pacht_Steinau">[1]Eingabeblatt_Wirtschaft!$M$48</definedName>
    <definedName name="Bereitstellung_Bank">[1]Eingabeblatt_Finanzierung!$D$65/IF([1]Eingabeblatt_Finanzierung!$C$65="pro Monat",1,IF([1]Eingabeblatt_Finanzierung!$C$65="pro Quartal",4,IF([1]Eingabeblatt_Finanzierung!$C$65="pro Halbjahr",6,12)))</definedName>
    <definedName name="Bereitstellung_EK2">[1]Eingabeblatt_Finanzierung!$H$31/IF([1]Eingabeblatt_Finanzierung!$G$31="pro Monat",1,IF([1]Eingabeblatt_Finanzierung!$G$31="pro Quartal",4,IF([1]Eingabeblatt_Finanzierung!$G$31="pro Halbjahr",6,12)))</definedName>
    <definedName name="Bereitstellung_ERP_Ost">[1]Eingabeblatt_Finanzierung!$H$45/IF([1]Eingabeblatt_Finanzierung!$G$45="pro Monat",1,IF([1]Eingabeblatt_Finanzierung!$G$45="pro Quartal",4,IF([1]Eingabeblatt_Finanzierung!$G$45="pro Halbjahr",6,12)))</definedName>
    <definedName name="Bereitstellung_ERP_West">[1]Eingabeblatt_Finanzierung!$D$45/IF([1]Eingabeblatt_Finanzierung!$C$45="pro Monat",1,IF([1]Eingabeblatt_Finanzierung!$C$45="pro Quartal",4,IF([1]Eingabeblatt_Finanzierung!$C$45="pro Halbjahr",6,12)))</definedName>
    <definedName name="Bereitstellung_KfW">[1]Eingabeblatt_Finanzierung!$L$45/IF([1]Eingabeblatt_Finanzierung!$K$45="pro Monat",1,IF([1]Eingabeblatt_Finanzierung!$K$45="pro Quartal",4,IF([1]Eingabeblatt_Finanzierung!$K$45="pro Halbjahr",6,12)))</definedName>
    <definedName name="Betreib_Wartung">'[2]WA light CW1800-500'!$B$36</definedName>
    <definedName name="Betreibs_Wartungskosten">[3]Teilberechnungen!#REF!</definedName>
    <definedName name="Betrieb_Wartung">'[2]WA light CW1800-500'!$H$19</definedName>
    <definedName name="Betriebsbeginn_Bad_Arolsen">YEAR([1]Eingabeblatt_Wirtschaft!$J$10)</definedName>
    <definedName name="Betriebsbeginn_GVZ_Leipzig">YEAR([1]Eingabeblatt_Wirtschaft!$I$10)</definedName>
    <definedName name="Betriebsbeginn_Langelsheim">YEAR([1]Eingabeblatt_Wirtschaft!$H$10)</definedName>
    <definedName name="Betriebsbeginn_Niedersachsenpark">YEAR([1]Eingabeblatt_Wirtschaft!$K$10)</definedName>
    <definedName name="Betriebsbeginn_Niesky">YEAR([1]Eingabeblatt_Wirtschaft!$L$10)</definedName>
    <definedName name="Betriebsbeginn_Steinau">YEAR([1]Eingabeblatt_Wirtschaft!$M$10)</definedName>
    <definedName name="Betriebsstunden">'[2]WA light CW1800-500'!$F$7</definedName>
    <definedName name="Brennstoff">'[2]WA light CW1800-500'!$B$35</definedName>
    <definedName name="Brennstoffkosten">'[2]WA light CW1800-500'!$H$15</definedName>
    <definedName name="Brennstoffleistung">'[2]WA light CW1800-500'!$D$7</definedName>
    <definedName name="BVTB">[4]B!$C$6:$AO$18,[4]B!$C$22:$AO$27,[4]B!$C$33:$AO$53</definedName>
    <definedName name="BVTF">[4]F!$C$6:$AA$18,[4]F!$C$22:$AA$27,[4]F!$C$33:$AA$53</definedName>
    <definedName name="BVTI">[4]I!$C$6:$W$18,[4]I!$C$22:$W$27,[4]I!$C$33:$W$53</definedName>
    <definedName name="BVTL">[4]L!$C$6:$C$18,[4]L!$C$22:$C$27,[4]L!$C$33:$C$53</definedName>
    <definedName name="BVTT">[4]BVTT!$C$6:$AF$18,[4]BVTT!$C$22:$AF$27,[4]BVTT!$C$33:$AF$53</definedName>
    <definedName name="CashFlow">'[2]WA light CW1800-500'!$G$31</definedName>
    <definedName name="D">#REF!,#REF!,#REF!</definedName>
    <definedName name="DD_EK">#REF!</definedName>
    <definedName name="Dess">[4]D!$C$6:$D$18,[4]D!$C$22:$D$27,[4]D!$C$33:$D$53</definedName>
    <definedName name="dollar">#REF!</definedName>
    <definedName name="_xlnm.Print_Area" localSheetId="7">'G&amp;V'!$A$1:$X$35</definedName>
    <definedName name="_xlnm.Print_Area" localSheetId="2">'Informationen zu Lieferanten'!$A$1:$I$37</definedName>
    <definedName name="DRUCKBEREICH_MI">'[4]G&amp;V'!#REF!</definedName>
    <definedName name="E">#REF!,#REF!,#REF!,#REF!</definedName>
    <definedName name="Eigenkapital">'[1]Invest. und Finanz.'!$M$33</definedName>
    <definedName name="Eigenmittel">'[2]WA light CW1800-500'!$B$18</definedName>
    <definedName name="Einzelprojekt">[1]Eingabeblatt_Wirtschaft!$F$71:$F$76</definedName>
    <definedName name="EK">#REF!</definedName>
    <definedName name="Erlöse_Strom_Bad_Arolsen">#REF!*#REF!*#REF!</definedName>
    <definedName name="Erlöse_Strom_GVZ_Leipzig">#REF!*#REF!*#REF!</definedName>
    <definedName name="Erlöse_Strom_Langelsheim">#REF!*#REF!*#REF!</definedName>
    <definedName name="Erlöse_Strom_Niedersachsenpark">#REF!*#REF!*#REF!</definedName>
    <definedName name="Erlöse_Strom_Niesky">#REF!*#REF!*#REF!</definedName>
    <definedName name="Erlöse_Strom_Steinau">#REF!*#REF!*#REF!</definedName>
    <definedName name="Erlöse_Wärme_Bad_Arolsen">(#REF!*#REF!*#REF!)+(#REF!*#REF!*#REF!)+(#REF!*#REF!*#REF!)</definedName>
    <definedName name="Erlöse_Wärme_GVZ_Leipzig">(#REF!*#REF!*#REF!)+(#REF!*#REF!*#REF!)+(#REF!*#REF!*#REF!)</definedName>
    <definedName name="Erlöse_Wärme_Langelsheim">(#REF!*#REF!*#REF!)+(#REF!*#REF!*#REF!)+(#REF!*#REF!*#REF!)</definedName>
    <definedName name="Erlöse_Wärme_Niedersachsenpark">(#REF!*#REF!*#REF!)+(#REF!*#REF!*#REF!)+(#REF!*#REF!*#REF!)</definedName>
    <definedName name="Erlöse_Wärme_Niesky">(#REF!*#REF!*#REF!)+(#REF!*#REF!*#REF!)+(#REF!*#REF!*#REF!)</definedName>
    <definedName name="Erlöse_Wärme_Steinau">(#REF!*#REF!*#REF!)+(#REF!*#REF!*#REF!)+(#REF!*#REF!*#REF!)</definedName>
    <definedName name="ETA_el">'[2]WA light CW1800-500'!$E$7</definedName>
    <definedName name="ETA_th_HT">'[2]WA light CW1800-500'!$E$8</definedName>
    <definedName name="ETA_th_NT">'[2]WA light CW1800-500'!$E$9</definedName>
    <definedName name="Etik.">'[5]Inv.-Fin.plan vorläufig '!$C$6:$AE$18,'[5]Inv.-Fin.plan vorläufig '!$C$22:$AE$27,'[5]Inv.-Fin.plan vorläufig '!$C$33:$AE$52</definedName>
    <definedName name="euro">#REF!</definedName>
    <definedName name="F">#REF!,#REF!,#REF!</definedName>
    <definedName name="Finanz">#REF!</definedName>
    <definedName name="Finanzierungsdauer">'[2]WA light CW1800-500'!$E$15</definedName>
    <definedName name="Fondskostenanteil">'[1]Invest. und Finanz.'!#REF!</definedName>
    <definedName name="Förderung">'[2]WA light CW1800-500'!$B$17</definedName>
    <definedName name="G">#REF!,#REF!,#REF!,#REF!</definedName>
    <definedName name="Gesamterlöse">'[2]WA light CW1800-500'!$B$32</definedName>
    <definedName name="Gesamtkosten">'[2]WA light CW1800-500'!$B$39</definedName>
    <definedName name="GRE">#REF!,#REF!,#REF!</definedName>
    <definedName name="H">#REF!,#REF!,#REF!,#REF!</definedName>
    <definedName name="Habenzins">[1]Eingabeblatt_Wirtschaft!$F$42</definedName>
    <definedName name="hebesatz">#REF!</definedName>
    <definedName name="hg">#REF!</definedName>
    <definedName name="HKG">[4]H!$C$6:$AH$18,[4]H!$C$22:$AH$27,[4]H!$C$33:$AH$53</definedName>
    <definedName name="hurdle_1">#REF!</definedName>
    <definedName name="hurdle_2">#REF!</definedName>
    <definedName name="i">[6]Simulation!$C$33</definedName>
    <definedName name="Inflation_Brennstoffe">(1+[1]Eingabeblatt_Wirtschaft!$F$61)</definedName>
    <definedName name="Inflation_Fondsverwaltung">1+[1]Eingabeblatt_Wirtschaft!$E$51</definedName>
    <definedName name="Inflation_Kosten">(1+[1]Eingabeblatt_Wirtschaft!$F$65)</definedName>
    <definedName name="Inflation_Pacht_Niesky_Steinau">[1]Inflations_Pacht!$C$20:$X$21</definedName>
    <definedName name="Inflation_Strom">1+[1]Eingabeblatt_Wirtschaft!$F$63</definedName>
    <definedName name="Inflation_Wärmeverkauf">1+[1]Eingabeblatt_Wirtschaft!$F$57</definedName>
    <definedName name="interest_liquid">#REF!</definedName>
    <definedName name="Invest_Zeitraum">[1]Invest_Phase!$D$4:$AT$4</definedName>
    <definedName name="Jahr">'[2]WA light CW1800-500'!$B$26</definedName>
    <definedName name="Jahresanteil_Bad_Arolsen">[1]Eingabeblatt_Wirtschaft!$J$11</definedName>
    <definedName name="Jahresanteil_GVZ_Leipzig">[1]Eingabeblatt_Wirtschaft!$I$11</definedName>
    <definedName name="Jahresanteil_Langelsheim">[1]Eingabeblatt_Wirtschaft!$H$11</definedName>
    <definedName name="Jahresanteil_Niedersachsenpark">[1]Eingabeblatt_Wirtschaft!$K$11</definedName>
    <definedName name="Jahresanteil_Niesky">[1]Eingabeblatt_Wirtschaft!$L$11</definedName>
    <definedName name="Jahresanteil_Steinau">[1]Eingabeblatt_Wirtschaft!$M$11</definedName>
    <definedName name="Kalkulationszinssatz">'[2]WA light CW1800-500'!$E$17</definedName>
    <definedName name="Kapital_Gründungsgesellschafter">'[1]Bilanzen R&amp;P'!$F$14</definedName>
    <definedName name="KfW_Finanzierung">#REF!</definedName>
    <definedName name="Kohleerlös">'[2]WA light CW1800-500'!$B$31</definedName>
    <definedName name="Kohlepreis">'[2]WA light CW1800-500'!$H$18</definedName>
    <definedName name="Kohleproduktion">[3]Teilberechnungen!#REF!</definedName>
    <definedName name="KomAnl">[4]KA!$C$6:$F$18,[4]KA!$C$22:$F$27,[4]KA!$C$33:$F$53</definedName>
    <definedName name="Kosten_Ascheentsorgung_Bad_Arolsen">#REF!*#REF!</definedName>
    <definedName name="Kosten_Ascheentsorgung_GVZ_Leipzig">#REF!*#REF!</definedName>
    <definedName name="Kosten_Ascheentsorgung_Langelsheim">#REF!*#REF!</definedName>
    <definedName name="Kosten_Ascheentsorgung_Niedersachsenpark">#REF!*#REF!</definedName>
    <definedName name="Kosten_Ascheentsorgung_Niesky">#REF!*#REF!</definedName>
    <definedName name="Kosten_Ascheentsorgung_Steinau">#REF!*#REF!</definedName>
    <definedName name="Kosten_Betriebsführung_Bad_Arolsen">#REF!</definedName>
    <definedName name="Kosten_Betriebsführung_GVZ_Leipzig">#REF!</definedName>
    <definedName name="Kosten_Betriebsführung_Langelsheim">#REF!</definedName>
    <definedName name="Kosten_Betriebsführung_Niedersachsenpark">#REF!</definedName>
    <definedName name="Kosten_Betriebsführung_Niesky">#REF!</definedName>
    <definedName name="Kosten_Betriebsführung_Steinau">#REF!</definedName>
    <definedName name="Kosten_Fondsverwaltung">[1]Eingabeblatt_Wirtschaft!$F$49</definedName>
    <definedName name="Kosten_Hilfsstoffe_Bad_Arolsen">#REF!</definedName>
    <definedName name="Kosten_Hilfsstoffe_GVZ_Leipzig">#REF!</definedName>
    <definedName name="Kosten_Hilfsstoffe_Langelsheim">#REF!</definedName>
    <definedName name="Kosten_Hilfsstoffe_Niedersachsenpark">#REF!</definedName>
    <definedName name="Kosten_Hilfsstoffe_Niesky">#REF!</definedName>
    <definedName name="Kosten_Hilfsstoffe_Steinau">#REF!</definedName>
    <definedName name="Kosten_Pacht_Bad_Arolsen">[1]Eingabeblatt_Wirtschaft!$J$47</definedName>
    <definedName name="Kosten_Pacht_GVZ_Leipzig">[1]Eingabeblatt_Wirtschaft!$I$47</definedName>
    <definedName name="Kosten_Pacht_Langelsheim">[1]Eingabeblatt_Wirtschaft!$H$47</definedName>
    <definedName name="Kosten_Pacht_Niedersachsenpark">[1]Eingabeblatt_Wirtschaft!$K$47</definedName>
    <definedName name="Kosten_Pacht_Niesky">[1]Eingabeblatt_Wirtschaft!$L$47</definedName>
    <definedName name="Kosten_Pacht_Steinau">[1]Eingabeblatt_Wirtschaft!$M$47</definedName>
    <definedName name="Kosten_Stromversorgung_Bad_Arolsen">#REF!*#REF!*#REF!/1000</definedName>
    <definedName name="Kosten_Stromversorgung_GVZ_Leipzig">#REF!*#REF!*#REF!/1000</definedName>
    <definedName name="Kosten_Stromversorgung_Langelsheim">#REF!*#REF!*#REF!/1000</definedName>
    <definedName name="Kosten_Stromversorgung_Niedersachsenpark">#REF!*#REF!*#REF!/1000</definedName>
    <definedName name="Kosten_Stromversorgung_Niesky">#REF!*#REF!*#REF!/1000</definedName>
    <definedName name="Kosten_Stromversorgung_Steinau">#REF!*#REF!*#REF!/1000</definedName>
    <definedName name="Kosten_Versicherung_Bad_Arolsen">[1]Eingabeblatt_Wirtschaft!$J$46</definedName>
    <definedName name="Kosten_Versicherung_GVZ_Leipzig">[1]Eingabeblatt_Wirtschaft!$I$46</definedName>
    <definedName name="Kosten_Versicherung_Langelsheim">[1]Eingabeblatt_Wirtschaft!$H$46</definedName>
    <definedName name="Kosten_Versicherung_Niedersachsenpark">[1]Eingabeblatt_Wirtschaft!$K$46</definedName>
    <definedName name="Kosten_Versicherung_Niesky">[1]Eingabeblatt_Wirtschaft!$L$46</definedName>
    <definedName name="Kosten_Versicherung_Steinau">[1]Eingabeblatt_Wirtschaft!$M$46</definedName>
    <definedName name="Kosten_Wartung_1_Bad_Arolsen">#REF!</definedName>
    <definedName name="Kosten_Wartung_1_GVZ_Leipzig">#REF!</definedName>
    <definedName name="Kosten_Wartung_1_Langelsheim">#REF!</definedName>
    <definedName name="Kosten_Wartung_1_Niedersachsenpark">#REF!</definedName>
    <definedName name="Kosten_Wartung_1_Niesky">#REF!</definedName>
    <definedName name="Kosten_Wartung_1_Steinau">#REF!</definedName>
    <definedName name="Kosten_Wartung_2_Bad_Arolsen">#REF!</definedName>
    <definedName name="Kosten_Wartung_2_GVZ_Leipzig">#REF!</definedName>
    <definedName name="Kosten_Wartung_2_Langelsheim">#REF!</definedName>
    <definedName name="Kosten_Wartung_2_Niedersachsenpark">#REF!</definedName>
    <definedName name="Kosten_Wartung_2_Niesky">#REF!</definedName>
    <definedName name="Kosten_Wartung_2_Steinau">#REF!</definedName>
    <definedName name="Kosten_Wasseraufbereitung_Bad_Arolsen">#REF!*#REF!*#REF!</definedName>
    <definedName name="Kosten_Wasseraufbereitung_GVZ_Leipzig">#REF!*#REF!*#REF!</definedName>
    <definedName name="Kosten_Wasseraufbereitung_Langelsheim">#REF!*#REF!*#REF!</definedName>
    <definedName name="Kosten_Wasseraufbereitung_Niedersachsenpark">#REF!*#REF!*#REF!</definedName>
    <definedName name="Kosten_Wasseraufbereitung_Niesky">#REF!*#REF!*#REF!</definedName>
    <definedName name="Kosten_Wasseraufbereitung_Steinau">#REF!*#REF!*#REF!</definedName>
    <definedName name="kW_el">'[2]WA light CW1800-500'!$B$7</definedName>
    <definedName name="kW_th_HT">'[2]WA light CW1800-500'!$B$8</definedName>
    <definedName name="kW_th_NT">'[2]WA light CW1800-500'!$B$9</definedName>
    <definedName name="kWh_el">'[2]WA light CW1800-500'!$H$7</definedName>
    <definedName name="kWh_th_HT">'[2]WA light CW1800-500'!$H$8</definedName>
    <definedName name="kWh_th_NT">'[2]WA light CW1800-500'!$H$9</definedName>
    <definedName name="Nebenkosten">'[2]WA light CW1800-500'!$B$16</definedName>
    <definedName name="Preisindex">'[2]WA light CW1800-500'!$H$20</definedName>
    <definedName name="Preissteigerungsrate">#REF!</definedName>
    <definedName name="Print_Area" localSheetId="8">AfA!$A$1:$AD$16</definedName>
    <definedName name="Print_Area" localSheetId="7">'G&amp;V'!$A$1:$Y$35</definedName>
    <definedName name="spez_Brennstoffverbrauch">[3]Teilberechnungen!#REF!</definedName>
    <definedName name="SR_EK">#REF!</definedName>
    <definedName name="StartGoal">[7]liquidity!#REF!</definedName>
    <definedName name="StartToCo">[7]liquidity!#REF!</definedName>
    <definedName name="Steuer">'[2]WA light CW1800-500'!$B$38</definedName>
    <definedName name="Stromerlös">'[2]WA light CW1800-500'!$B$29</definedName>
    <definedName name="Strompreis">'[2]WA light CW1800-500'!$H$16</definedName>
    <definedName name="Vergaser">'[2]WA light CW1800-500'!$B$15</definedName>
    <definedName name="VS">[4]VS!$C$6:$R$18,[4]VS!$C$22:$R$27,[4]VS!$C$33:$R$53</definedName>
    <definedName name="Wärmeerlös">'[2]WA light CW1800-500'!$B$30</definedName>
    <definedName name="Wärmepreis">'[2]WA light CW1800-500'!$H$17</definedName>
    <definedName name="Zinsen">'[2]WA light CW1800-500'!$B$37</definedName>
    <definedName name="Zinssatz_Bank">[1]Eingabeblatt_Finanzierung!$D$66+[1]Eingabeblatt_Finanzierung!$D$67</definedName>
    <definedName name="Zinssatz_ERP_Ost">[1]Eingabeblatt_Finanzierung!$H$46+[1]Eingabeblatt_Finanzierung!$H$47</definedName>
    <definedName name="Zinssatz_ERP_West">[1]Eingabeblatt_Finanzierung!$D$46+[1]Eingabeblatt_Finanzierung!$D$47</definedName>
    <definedName name="Zinssatz_KfW">[1]Eingabeblatt_Finanzierung!$L$46+[1]Eingabeblatt_Finanzierung!$L$47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1" i="90" l="1"/>
  <c r="I16" i="90"/>
  <c r="I18" i="90"/>
  <c r="I19" i="90"/>
  <c r="I24" i="90"/>
  <c r="I14" i="90"/>
  <c r="I7" i="90"/>
  <c r="I11" i="90"/>
  <c r="I6" i="90"/>
  <c r="J16" i="90"/>
  <c r="J2" i="80"/>
  <c r="C2" i="80"/>
  <c r="J5" i="80"/>
  <c r="F14" i="27"/>
  <c r="F15" i="27"/>
  <c r="F13" i="27"/>
  <c r="H13" i="27"/>
  <c r="H14" i="27"/>
  <c r="H15" i="27"/>
  <c r="J29" i="80"/>
  <c r="K29" i="80" s="1"/>
  <c r="L29" i="80" s="1"/>
  <c r="M29" i="80" s="1"/>
  <c r="N29" i="80" s="1"/>
  <c r="O29" i="80" s="1"/>
  <c r="P29" i="80" s="1"/>
  <c r="Q29" i="80" s="1"/>
  <c r="R29" i="80" s="1"/>
  <c r="S29" i="80" s="1"/>
  <c r="T29" i="80" s="1"/>
  <c r="U29" i="80" s="1"/>
  <c r="V29" i="80" s="1"/>
  <c r="W29" i="80" s="1"/>
  <c r="X29" i="80" s="1"/>
  <c r="J28" i="80"/>
  <c r="K28" i="80" s="1"/>
  <c r="L28" i="80" s="1"/>
  <c r="M28" i="80" s="1"/>
  <c r="N28" i="80" s="1"/>
  <c r="O28" i="80" s="1"/>
  <c r="P28" i="80" s="1"/>
  <c r="Q28" i="80" s="1"/>
  <c r="R28" i="80" s="1"/>
  <c r="S28" i="80" s="1"/>
  <c r="T28" i="80" s="1"/>
  <c r="U28" i="80" s="1"/>
  <c r="V28" i="80" s="1"/>
  <c r="W28" i="80" s="1"/>
  <c r="X28" i="80" s="1"/>
  <c r="J27" i="80"/>
  <c r="K27" i="80" s="1"/>
  <c r="L27" i="80" s="1"/>
  <c r="M27" i="80" s="1"/>
  <c r="N27" i="80" s="1"/>
  <c r="O27" i="80" s="1"/>
  <c r="P27" i="80" s="1"/>
  <c r="Q27" i="80" s="1"/>
  <c r="R27" i="80" s="1"/>
  <c r="S27" i="80" s="1"/>
  <c r="T27" i="80" s="1"/>
  <c r="U27" i="80" s="1"/>
  <c r="V27" i="80" s="1"/>
  <c r="W27" i="80" s="1"/>
  <c r="X27" i="80" s="1"/>
  <c r="J25" i="80"/>
  <c r="K25" i="80" s="1"/>
  <c r="L25" i="80" s="1"/>
  <c r="M25" i="80" s="1"/>
  <c r="N25" i="80" s="1"/>
  <c r="O25" i="80" s="1"/>
  <c r="P25" i="80" s="1"/>
  <c r="Q25" i="80" s="1"/>
  <c r="R25" i="80" s="1"/>
  <c r="S25" i="80" s="1"/>
  <c r="T25" i="80" s="1"/>
  <c r="U25" i="80" s="1"/>
  <c r="V25" i="80" s="1"/>
  <c r="W25" i="80" s="1"/>
  <c r="X25" i="80" s="1"/>
  <c r="K21" i="80"/>
  <c r="L21" i="80" s="1"/>
  <c r="M21" i="80" s="1"/>
  <c r="N21" i="80" s="1"/>
  <c r="O21" i="80" s="1"/>
  <c r="P21" i="80" s="1"/>
  <c r="Q21" i="80" s="1"/>
  <c r="R21" i="80" s="1"/>
  <c r="S21" i="80" s="1"/>
  <c r="T21" i="80" s="1"/>
  <c r="U21" i="80" s="1"/>
  <c r="V21" i="80" s="1"/>
  <c r="W21" i="80" s="1"/>
  <c r="X21" i="80" s="1"/>
  <c r="J50" i="80" l="1"/>
  <c r="K50" i="80" s="1"/>
  <c r="L50" i="80" s="1"/>
  <c r="M50" i="80" s="1"/>
  <c r="N50" i="80" s="1"/>
  <c r="O50" i="80" s="1"/>
  <c r="P50" i="80" s="1"/>
  <c r="Q50" i="80" s="1"/>
  <c r="R50" i="80" s="1"/>
  <c r="S50" i="80" s="1"/>
  <c r="T50" i="80" s="1"/>
  <c r="U50" i="80" s="1"/>
  <c r="V50" i="80" s="1"/>
  <c r="W50" i="80" s="1"/>
  <c r="X50" i="80" s="1"/>
  <c r="J18" i="90"/>
  <c r="J20" i="90"/>
  <c r="X30" i="80"/>
  <c r="T30" i="80"/>
  <c r="S30" i="80"/>
  <c r="R30" i="80"/>
  <c r="Q30" i="80"/>
  <c r="P30" i="80"/>
  <c r="O30" i="80"/>
  <c r="N30" i="80"/>
  <c r="J30" i="80"/>
  <c r="M30" i="80"/>
  <c r="L30" i="80"/>
  <c r="W30" i="80"/>
  <c r="K30" i="80"/>
  <c r="V30" i="80"/>
  <c r="U30" i="80"/>
  <c r="G55" i="80" l="1"/>
  <c r="J53" i="80"/>
  <c r="K53" i="80" s="1"/>
  <c r="L53" i="80" s="1"/>
  <c r="M53" i="80" s="1"/>
  <c r="N53" i="80" s="1"/>
  <c r="O53" i="80" s="1"/>
  <c r="P53" i="80" s="1"/>
  <c r="Q53" i="80" s="1"/>
  <c r="R53" i="80" s="1"/>
  <c r="S53" i="80" s="1"/>
  <c r="T53" i="80" s="1"/>
  <c r="U53" i="80" s="1"/>
  <c r="V53" i="80" s="1"/>
  <c r="W53" i="80" s="1"/>
  <c r="X53" i="80" s="1"/>
  <c r="J19" i="80"/>
  <c r="K19" i="80" s="1"/>
  <c r="L19" i="80" s="1"/>
  <c r="M19" i="80" s="1"/>
  <c r="N19" i="80" s="1"/>
  <c r="O19" i="80" s="1"/>
  <c r="P19" i="80" s="1"/>
  <c r="Q19" i="80" s="1"/>
  <c r="R19" i="80" s="1"/>
  <c r="S19" i="80" s="1"/>
  <c r="T19" i="80" s="1"/>
  <c r="U19" i="80" s="1"/>
  <c r="V19" i="80" s="1"/>
  <c r="W19" i="80" s="1"/>
  <c r="X19" i="80" s="1"/>
  <c r="J7" i="80" l="1"/>
  <c r="K7" i="80" s="1"/>
  <c r="J20" i="80"/>
  <c r="K20" i="80" s="1"/>
  <c r="L20" i="80" s="1"/>
  <c r="M20" i="80" s="1"/>
  <c r="N20" i="80" s="1"/>
  <c r="O20" i="80" s="1"/>
  <c r="P20" i="80" s="1"/>
  <c r="Q20" i="80" s="1"/>
  <c r="R20" i="80" s="1"/>
  <c r="S20" i="80" s="1"/>
  <c r="T20" i="80" s="1"/>
  <c r="U20" i="80" s="1"/>
  <c r="V20" i="80" s="1"/>
  <c r="W20" i="80" s="1"/>
  <c r="X20" i="80" s="1"/>
  <c r="J8" i="80"/>
  <c r="K8" i="80" s="1"/>
  <c r="L8" i="80" s="1"/>
  <c r="M8" i="80" s="1"/>
  <c r="N8" i="80" s="1"/>
  <c r="O8" i="80" s="1"/>
  <c r="P8" i="80" s="1"/>
  <c r="Q8" i="80" s="1"/>
  <c r="R8" i="80" s="1"/>
  <c r="S8" i="80" s="1"/>
  <c r="T8" i="80" s="1"/>
  <c r="U8" i="80" s="1"/>
  <c r="V8" i="80" s="1"/>
  <c r="W8" i="80" s="1"/>
  <c r="X8" i="80" s="1"/>
  <c r="Y8" i="80" s="1"/>
  <c r="J17" i="90" l="1"/>
  <c r="J7" i="90"/>
  <c r="J6" i="90"/>
  <c r="L7" i="80"/>
  <c r="J17" i="80" l="1"/>
  <c r="K17" i="80" s="1"/>
  <c r="M7" i="80"/>
  <c r="J14" i="90" l="1"/>
  <c r="J18" i="80"/>
  <c r="K18" i="80" s="1"/>
  <c r="L18" i="80" s="1"/>
  <c r="M18" i="80" s="1"/>
  <c r="N18" i="80" s="1"/>
  <c r="O18" i="80" s="1"/>
  <c r="P18" i="80" s="1"/>
  <c r="Q18" i="80" s="1"/>
  <c r="R18" i="80" s="1"/>
  <c r="S18" i="80" s="1"/>
  <c r="T18" i="80" s="1"/>
  <c r="U18" i="80" s="1"/>
  <c r="V18" i="80" s="1"/>
  <c r="W18" i="80" s="1"/>
  <c r="X18" i="80" s="1"/>
  <c r="L17" i="80"/>
  <c r="N7" i="80"/>
  <c r="J23" i="80" l="1"/>
  <c r="K23" i="80"/>
  <c r="J10" i="80"/>
  <c r="K10" i="80" s="1"/>
  <c r="L10" i="80" s="1"/>
  <c r="M10" i="80" s="1"/>
  <c r="N10" i="80" s="1"/>
  <c r="O10" i="80" s="1"/>
  <c r="P10" i="80" s="1"/>
  <c r="Q10" i="80" s="1"/>
  <c r="R10" i="80" s="1"/>
  <c r="S10" i="80" s="1"/>
  <c r="T10" i="80" s="1"/>
  <c r="U10" i="80" s="1"/>
  <c r="V10" i="80" s="1"/>
  <c r="W10" i="80" s="1"/>
  <c r="X10" i="80" s="1"/>
  <c r="Y10" i="80" s="1"/>
  <c r="J9" i="80"/>
  <c r="L23" i="80"/>
  <c r="M17" i="80"/>
  <c r="O7" i="80"/>
  <c r="I19" i="80"/>
  <c r="J11" i="80" l="1"/>
  <c r="K11" i="80" s="1"/>
  <c r="L11" i="80" s="1"/>
  <c r="M11" i="80" s="1"/>
  <c r="N11" i="80" s="1"/>
  <c r="O11" i="80" s="1"/>
  <c r="P11" i="80" s="1"/>
  <c r="Q11" i="80" s="1"/>
  <c r="R11" i="80" s="1"/>
  <c r="S11" i="80" s="1"/>
  <c r="T11" i="80" s="1"/>
  <c r="U11" i="80" s="1"/>
  <c r="V11" i="80" s="1"/>
  <c r="W11" i="80" s="1"/>
  <c r="X11" i="80" s="1"/>
  <c r="Y11" i="80" s="1"/>
  <c r="K9" i="80"/>
  <c r="L9" i="80" s="1"/>
  <c r="M23" i="80"/>
  <c r="N17" i="80"/>
  <c r="P7" i="80"/>
  <c r="J12" i="80" l="1"/>
  <c r="K12" i="80"/>
  <c r="N23" i="80"/>
  <c r="O17" i="80"/>
  <c r="M9" i="80"/>
  <c r="L12" i="80"/>
  <c r="Q7" i="80"/>
  <c r="C16" i="90" l="1"/>
  <c r="O23" i="80"/>
  <c r="P17" i="80"/>
  <c r="R7" i="80"/>
  <c r="N9" i="80"/>
  <c r="M12" i="80"/>
  <c r="P23" i="80" l="1"/>
  <c r="Q17" i="80"/>
  <c r="O9" i="80"/>
  <c r="N12" i="80"/>
  <c r="S7" i="80"/>
  <c r="R17" i="80" l="1"/>
  <c r="Q23" i="80"/>
  <c r="T7" i="80"/>
  <c r="P9" i="80"/>
  <c r="O12" i="80"/>
  <c r="Y14" i="80"/>
  <c r="X14" i="80"/>
  <c r="W14" i="80"/>
  <c r="V14" i="80"/>
  <c r="U14" i="80"/>
  <c r="T14" i="80"/>
  <c r="S14" i="80"/>
  <c r="R14" i="80"/>
  <c r="Q14" i="80"/>
  <c r="P14" i="80"/>
  <c r="O14" i="80"/>
  <c r="N14" i="80"/>
  <c r="M14" i="80"/>
  <c r="L14" i="80"/>
  <c r="K14" i="80"/>
  <c r="J14" i="80"/>
  <c r="I14" i="80"/>
  <c r="I9" i="80"/>
  <c r="Y6" i="80"/>
  <c r="I6" i="80"/>
  <c r="K6" i="80" s="1"/>
  <c r="L6" i="80" s="1"/>
  <c r="M6" i="80" s="1"/>
  <c r="N6" i="80" s="1"/>
  <c r="O6" i="80" s="1"/>
  <c r="P6" i="80" s="1"/>
  <c r="Q6" i="80" s="1"/>
  <c r="R6" i="80" s="1"/>
  <c r="S6" i="80" s="1"/>
  <c r="T6" i="80" s="1"/>
  <c r="U6" i="80" s="1"/>
  <c r="V6" i="80" s="1"/>
  <c r="W6" i="80" s="1"/>
  <c r="X6" i="80" s="1"/>
  <c r="Y5" i="80"/>
  <c r="I5" i="80"/>
  <c r="K5" i="80" s="1"/>
  <c r="L5" i="80" s="1"/>
  <c r="M5" i="80" s="1"/>
  <c r="N5" i="80" s="1"/>
  <c r="O5" i="80" s="1"/>
  <c r="P5" i="80" s="1"/>
  <c r="Q5" i="80" s="1"/>
  <c r="R5" i="80" s="1"/>
  <c r="S5" i="80" s="1"/>
  <c r="T5" i="80" s="1"/>
  <c r="U5" i="80" s="1"/>
  <c r="V5" i="80" s="1"/>
  <c r="W5" i="80" s="1"/>
  <c r="X5" i="80" s="1"/>
  <c r="R23" i="80" l="1"/>
  <c r="S17" i="80"/>
  <c r="Q9" i="80"/>
  <c r="P12" i="80"/>
  <c r="U7" i="80"/>
  <c r="T17" i="80" l="1"/>
  <c r="S23" i="80"/>
  <c r="V7" i="80"/>
  <c r="R9" i="80"/>
  <c r="Q12" i="80"/>
  <c r="U17" i="80" l="1"/>
  <c r="T23" i="80"/>
  <c r="W7" i="80"/>
  <c r="S9" i="80"/>
  <c r="R12" i="80"/>
  <c r="V17" i="80" l="1"/>
  <c r="U23" i="80"/>
  <c r="T9" i="80"/>
  <c r="S12" i="80"/>
  <c r="X7" i="80"/>
  <c r="V23" i="80" l="1"/>
  <c r="W17" i="80"/>
  <c r="Y7" i="80"/>
  <c r="U9" i="80"/>
  <c r="T12" i="80"/>
  <c r="X17" i="80" l="1"/>
  <c r="X23" i="80" s="1"/>
  <c r="W23" i="80"/>
  <c r="V9" i="80"/>
  <c r="U12" i="80"/>
  <c r="I8" i="80"/>
  <c r="W9" i="80" l="1"/>
  <c r="V12" i="80"/>
  <c r="I7" i="80"/>
  <c r="X9" i="80" l="1"/>
  <c r="W12" i="80"/>
  <c r="Y9" i="80" l="1"/>
  <c r="X12" i="80"/>
  <c r="Y28" i="80" l="1"/>
  <c r="Y25" i="80" l="1"/>
  <c r="H12" i="27" l="1"/>
  <c r="J12" i="27" s="1"/>
  <c r="N6" i="27"/>
  <c r="R2" i="27"/>
  <c r="O6" i="27" l="1"/>
  <c r="P6" i="27" s="1"/>
  <c r="Q6" i="27" s="1"/>
  <c r="R6" i="27" s="1"/>
  <c r="S6" i="27" s="1"/>
  <c r="T6" i="27" s="1"/>
  <c r="U6" i="27" s="1"/>
  <c r="V6" i="27" s="1"/>
  <c r="W6" i="27" s="1"/>
  <c r="X6" i="27" s="1"/>
  <c r="Y6" i="27" s="1"/>
  <c r="Z6" i="27" s="1"/>
  <c r="AA6" i="27" s="1"/>
  <c r="AB6" i="27" s="1"/>
  <c r="AC6" i="27" s="1"/>
  <c r="AD6" i="27" s="1"/>
  <c r="L12" i="27"/>
  <c r="V2" i="27"/>
  <c r="D2" i="27" l="1"/>
  <c r="Y12" i="80"/>
  <c r="Y15" i="80" s="1"/>
  <c r="K2" i="27"/>
  <c r="J15" i="80" l="1"/>
  <c r="I20" i="80"/>
  <c r="I17" i="80" l="1"/>
  <c r="I21" i="80"/>
  <c r="I12" i="80" l="1"/>
  <c r="I15" i="80" s="1"/>
  <c r="K15" i="80" l="1"/>
  <c r="O13" i="27"/>
  <c r="O15" i="27"/>
  <c r="P15" i="27" s="1"/>
  <c r="Q15" i="27" s="1"/>
  <c r="R15" i="27" s="1"/>
  <c r="S15" i="27" s="1"/>
  <c r="T15" i="27" s="1"/>
  <c r="U15" i="27" s="1"/>
  <c r="V15" i="27" s="1"/>
  <c r="W15" i="27" s="1"/>
  <c r="X15" i="27" s="1"/>
  <c r="Y15" i="27" s="1"/>
  <c r="Z15" i="27" s="1"/>
  <c r="AA15" i="27" s="1"/>
  <c r="AB15" i="27" s="1"/>
  <c r="AC15" i="27" s="1"/>
  <c r="AD15" i="27" s="1"/>
  <c r="O14" i="27"/>
  <c r="P14" i="27" s="1"/>
  <c r="Q14" i="27" s="1"/>
  <c r="R14" i="27" s="1"/>
  <c r="S14" i="27" s="1"/>
  <c r="T14" i="27" s="1"/>
  <c r="U14" i="27" s="1"/>
  <c r="V14" i="27" s="1"/>
  <c r="W14" i="27" s="1"/>
  <c r="X14" i="27" s="1"/>
  <c r="Y14" i="27" s="1"/>
  <c r="Z14" i="27" s="1"/>
  <c r="AA14" i="27" s="1"/>
  <c r="AB14" i="27" s="1"/>
  <c r="AC14" i="27" s="1"/>
  <c r="AD14" i="27" s="1"/>
  <c r="P13" i="27" l="1"/>
  <c r="O16" i="27"/>
  <c r="L15" i="80"/>
  <c r="J15" i="27"/>
  <c r="L15" i="27" s="1"/>
  <c r="J14" i="27"/>
  <c r="L14" i="27" s="1"/>
  <c r="J13" i="27"/>
  <c r="J19" i="90" l="1"/>
  <c r="Q13" i="27"/>
  <c r="P16" i="27"/>
  <c r="K26" i="80" s="1"/>
  <c r="K39" i="80" s="1"/>
  <c r="M15" i="80"/>
  <c r="I26" i="80"/>
  <c r="L13" i="27"/>
  <c r="R13" i="27" l="1"/>
  <c r="Q16" i="27"/>
  <c r="L26" i="80" s="1"/>
  <c r="L39" i="80" s="1"/>
  <c r="N15" i="80"/>
  <c r="J26" i="80"/>
  <c r="J39" i="80" s="1"/>
  <c r="S13" i="27" l="1"/>
  <c r="R16" i="27"/>
  <c r="M26" i="80" s="1"/>
  <c r="M39" i="80" s="1"/>
  <c r="T13" i="27" l="1"/>
  <c r="S16" i="27"/>
  <c r="N26" i="80" s="1"/>
  <c r="N39" i="80" s="1"/>
  <c r="O15" i="80"/>
  <c r="P15" i="80"/>
  <c r="U13" i="27" l="1"/>
  <c r="T16" i="27"/>
  <c r="O26" i="80" s="1"/>
  <c r="O39" i="80" s="1"/>
  <c r="V13" i="27" l="1"/>
  <c r="U16" i="27"/>
  <c r="P26" i="80" s="1"/>
  <c r="P39" i="80" s="1"/>
  <c r="R15" i="80"/>
  <c r="Q15" i="80"/>
  <c r="W13" i="27" l="1"/>
  <c r="V16" i="27"/>
  <c r="Q26" i="80" s="1"/>
  <c r="Q39" i="80" s="1"/>
  <c r="S15" i="80"/>
  <c r="Y29" i="80"/>
  <c r="X13" i="27" l="1"/>
  <c r="W16" i="27"/>
  <c r="R26" i="80" s="1"/>
  <c r="R39" i="80" s="1"/>
  <c r="Y30" i="80"/>
  <c r="T15" i="80"/>
  <c r="Y13" i="27" l="1"/>
  <c r="X16" i="27"/>
  <c r="S26" i="80" s="1"/>
  <c r="S39" i="80" s="1"/>
  <c r="U15" i="80"/>
  <c r="Z13" i="27" l="1"/>
  <c r="Y16" i="27"/>
  <c r="T26" i="80" s="1"/>
  <c r="T39" i="80" s="1"/>
  <c r="V15" i="80"/>
  <c r="AA13" i="27" l="1"/>
  <c r="Z16" i="27"/>
  <c r="U26" i="80" s="1"/>
  <c r="U39" i="80" s="1"/>
  <c r="AB13" i="27" l="1"/>
  <c r="AA16" i="27"/>
  <c r="V26" i="80" s="1"/>
  <c r="V39" i="80" s="1"/>
  <c r="W15" i="80"/>
  <c r="X15" i="80"/>
  <c r="AC13" i="27" l="1"/>
  <c r="AB16" i="27"/>
  <c r="W26" i="80" s="1"/>
  <c r="W39" i="80" s="1"/>
  <c r="AD13" i="27" l="1"/>
  <c r="AD16" i="27" s="1"/>
  <c r="AC16" i="27"/>
  <c r="X26" i="80" s="1"/>
  <c r="X39" i="80" s="1"/>
  <c r="Y23" i="80" l="1"/>
  <c r="Y24" i="80" s="1"/>
  <c r="Y26" i="80" l="1"/>
  <c r="I23" i="80" l="1"/>
  <c r="I24" i="80" s="1"/>
  <c r="J24" i="80"/>
  <c r="K24" i="80" l="1"/>
  <c r="L24" i="80" l="1"/>
  <c r="M24" i="80"/>
  <c r="N24" i="80" l="1"/>
  <c r="O24" i="80" l="1"/>
  <c r="P24" i="80" l="1"/>
  <c r="Q24" i="80" l="1"/>
  <c r="R24" i="80" l="1"/>
  <c r="S24" i="80" l="1"/>
  <c r="T24" i="80" l="1"/>
  <c r="U24" i="80" l="1"/>
  <c r="V24" i="80" l="1"/>
  <c r="W24" i="80" l="1"/>
  <c r="X24" i="80" l="1"/>
  <c r="I28" i="80" l="1"/>
  <c r="J31" i="80" l="1"/>
  <c r="J41" i="80"/>
  <c r="K41" i="80" l="1"/>
  <c r="K31" i="80" l="1"/>
  <c r="L41" i="80" l="1"/>
  <c r="J24" i="90" l="1"/>
  <c r="L31" i="80"/>
  <c r="D16" i="90" l="1"/>
  <c r="M41" i="80" l="1"/>
  <c r="M31" i="80" l="1"/>
  <c r="N41" i="80" l="1"/>
  <c r="N31" i="80" l="1"/>
  <c r="O41" i="80" l="1"/>
  <c r="O31" i="80" l="1"/>
  <c r="P31" i="80" l="1"/>
  <c r="P41" i="80" l="1"/>
  <c r="Q41" i="80" l="1"/>
  <c r="Q31" i="80" l="1"/>
  <c r="R41" i="80" l="1"/>
  <c r="R31" i="80" l="1"/>
  <c r="S31" i="80" l="1"/>
  <c r="S41" i="80" l="1"/>
  <c r="T31" i="80" l="1"/>
  <c r="T41" i="80"/>
  <c r="U41" i="80" l="1"/>
  <c r="U31" i="80" l="1"/>
  <c r="V41" i="80" l="1"/>
  <c r="V31" i="80" l="1"/>
  <c r="W41" i="80" l="1"/>
  <c r="W31" i="80" l="1"/>
  <c r="X41" i="80" l="1"/>
  <c r="X31" i="80" l="1"/>
  <c r="Y41" i="80" l="1"/>
  <c r="I29" i="80" l="1"/>
  <c r="I30" i="80" s="1"/>
  <c r="I25" i="80" l="1"/>
  <c r="I32" i="80" l="1"/>
  <c r="I33" i="80" l="1"/>
  <c r="I35" i="80" s="1"/>
  <c r="I37" i="80"/>
  <c r="J32" i="80"/>
  <c r="J33" i="80" l="1"/>
  <c r="J35" i="80" s="1"/>
  <c r="J36" i="80" l="1"/>
  <c r="J37" i="80" s="1"/>
  <c r="J40" i="80" l="1"/>
  <c r="J60" i="80"/>
  <c r="K32" i="80"/>
  <c r="J42" i="80" l="1"/>
  <c r="J52" i="80" s="1"/>
  <c r="J46" i="80"/>
  <c r="J49" i="80" s="1"/>
  <c r="J55" i="80" s="1"/>
  <c r="K33" i="80"/>
  <c r="K35" i="80" s="1"/>
  <c r="K36" i="80" l="1"/>
  <c r="K37" i="80" s="1"/>
  <c r="K40" i="80" l="1"/>
  <c r="L32" i="80"/>
  <c r="K42" i="80" l="1"/>
  <c r="K52" i="80" s="1"/>
  <c r="K46" i="80"/>
  <c r="K49" i="80" s="1"/>
  <c r="K55" i="80" s="1"/>
  <c r="L33" i="80"/>
  <c r="L35" i="80" s="1"/>
  <c r="L36" i="80" l="1"/>
  <c r="L37" i="80" s="1"/>
  <c r="L40" i="80" l="1"/>
  <c r="M32" i="80"/>
  <c r="L42" i="80" l="1"/>
  <c r="L52" i="80" s="1"/>
  <c r="L46" i="80"/>
  <c r="L49" i="80" s="1"/>
  <c r="L55" i="80" s="1"/>
  <c r="M33" i="80"/>
  <c r="M35" i="80" s="1"/>
  <c r="M36" i="80" l="1"/>
  <c r="M37" i="80" s="1"/>
  <c r="M40" i="80" l="1"/>
  <c r="N32" i="80"/>
  <c r="M42" i="80" l="1"/>
  <c r="M52" i="80" s="1"/>
  <c r="M46" i="80"/>
  <c r="M49" i="80" s="1"/>
  <c r="M55" i="80" s="1"/>
  <c r="N33" i="80"/>
  <c r="N35" i="80" s="1"/>
  <c r="N36" i="80" l="1"/>
  <c r="N37" i="80" s="1"/>
  <c r="N40" i="80" l="1"/>
  <c r="O32" i="80"/>
  <c r="N42" i="80" l="1"/>
  <c r="N52" i="80" s="1"/>
  <c r="N46" i="80"/>
  <c r="N49" i="80" s="1"/>
  <c r="N55" i="80" s="1"/>
  <c r="O33" i="80"/>
  <c r="O35" i="80" s="1"/>
  <c r="O36" i="80" l="1"/>
  <c r="O37" i="80" s="1"/>
  <c r="O40" i="80" l="1"/>
  <c r="P32" i="80"/>
  <c r="O42" i="80" l="1"/>
  <c r="O52" i="80" s="1"/>
  <c r="O46" i="80"/>
  <c r="O49" i="80" s="1"/>
  <c r="O55" i="80" s="1"/>
  <c r="P33" i="80"/>
  <c r="P35" i="80" s="1"/>
  <c r="P36" i="80" l="1"/>
  <c r="P37" i="80" s="1"/>
  <c r="P40" i="80" l="1"/>
  <c r="Q32" i="80"/>
  <c r="P42" i="80" l="1"/>
  <c r="P52" i="80" s="1"/>
  <c r="P46" i="80"/>
  <c r="P49" i="80" s="1"/>
  <c r="P55" i="80" s="1"/>
  <c r="Q33" i="80"/>
  <c r="Q35" i="80" s="1"/>
  <c r="Q36" i="80" l="1"/>
  <c r="Q37" i="80" s="1"/>
  <c r="Q40" i="80" l="1"/>
  <c r="R32" i="80"/>
  <c r="Q42" i="80" l="1"/>
  <c r="Q52" i="80" s="1"/>
  <c r="Q46" i="80"/>
  <c r="Q49" i="80" s="1"/>
  <c r="Q55" i="80" s="1"/>
  <c r="R33" i="80"/>
  <c r="R35" i="80" s="1"/>
  <c r="R36" i="80" l="1"/>
  <c r="R37" i="80" s="1"/>
  <c r="R40" i="80" l="1"/>
  <c r="S32" i="80"/>
  <c r="R42" i="80" l="1"/>
  <c r="R52" i="80" s="1"/>
  <c r="R46" i="80"/>
  <c r="R49" i="80" s="1"/>
  <c r="R55" i="80" s="1"/>
  <c r="S33" i="80"/>
  <c r="S35" i="80" s="1"/>
  <c r="S36" i="80" l="1"/>
  <c r="S37" i="80" s="1"/>
  <c r="S40" i="80" l="1"/>
  <c r="T32" i="80"/>
  <c r="S42" i="80" l="1"/>
  <c r="S52" i="80" s="1"/>
  <c r="S46" i="80"/>
  <c r="S49" i="80" s="1"/>
  <c r="S55" i="80" s="1"/>
  <c r="T33" i="80"/>
  <c r="T35" i="80" s="1"/>
  <c r="T36" i="80" l="1"/>
  <c r="T37" i="80" s="1"/>
  <c r="T40" i="80" l="1"/>
  <c r="U32" i="80"/>
  <c r="T42" i="80" l="1"/>
  <c r="T52" i="80" s="1"/>
  <c r="T46" i="80"/>
  <c r="T49" i="80" s="1"/>
  <c r="T55" i="80" s="1"/>
  <c r="U33" i="80"/>
  <c r="U35" i="80" s="1"/>
  <c r="U36" i="80" l="1"/>
  <c r="U37" i="80" s="1"/>
  <c r="U40" i="80" l="1"/>
  <c r="V32" i="80"/>
  <c r="U42" i="80" l="1"/>
  <c r="U52" i="80" s="1"/>
  <c r="U46" i="80"/>
  <c r="U49" i="80" s="1"/>
  <c r="U55" i="80" s="1"/>
  <c r="V33" i="80"/>
  <c r="V35" i="80" s="1"/>
  <c r="V36" i="80" l="1"/>
  <c r="V37" i="80" s="1"/>
  <c r="V40" i="80" l="1"/>
  <c r="W32" i="80"/>
  <c r="V42" i="80" l="1"/>
  <c r="V52" i="80" s="1"/>
  <c r="V46" i="80"/>
  <c r="V49" i="80" s="1"/>
  <c r="V55" i="80" s="1"/>
  <c r="W33" i="80"/>
  <c r="W35" i="80" s="1"/>
  <c r="W36" i="80" l="1"/>
  <c r="W37" i="80" s="1"/>
  <c r="W40" i="80" l="1"/>
  <c r="X32" i="80"/>
  <c r="W42" i="80" l="1"/>
  <c r="W52" i="80" s="1"/>
  <c r="W46" i="80"/>
  <c r="W49" i="80" s="1"/>
  <c r="W55" i="80" s="1"/>
  <c r="X33" i="80"/>
  <c r="X35" i="80" s="1"/>
  <c r="X36" i="80" l="1"/>
  <c r="X37" i="80" s="1"/>
  <c r="X40" i="80" l="1"/>
  <c r="Y31" i="80"/>
  <c r="Y32" i="80" s="1"/>
  <c r="X42" i="80" l="1"/>
  <c r="X52" i="80" s="1"/>
  <c r="Y52" i="80" s="1"/>
  <c r="Y57" i="80" s="1"/>
  <c r="X46" i="80"/>
  <c r="X49" i="80" s="1"/>
  <c r="X55" i="80" s="1"/>
  <c r="C55" i="80" s="1"/>
  <c r="Y33" i="80"/>
  <c r="Y35" i="80" s="1"/>
  <c r="Y36" i="80" s="1"/>
  <c r="Y37" i="80"/>
</calcChain>
</file>

<file path=xl/sharedStrings.xml><?xml version="1.0" encoding="utf-8"?>
<sst xmlns="http://schemas.openxmlformats.org/spreadsheetml/2006/main" count="281" uniqueCount="186">
  <si>
    <t>Stand:</t>
  </si>
  <si>
    <t>Umsatzerlöse</t>
  </si>
  <si>
    <t>Projekt:</t>
  </si>
  <si>
    <t>Personal</t>
  </si>
  <si>
    <t>Wartung und Instandhaltung</t>
  </si>
  <si>
    <t>Außenanlagen</t>
  </si>
  <si>
    <t>Versicherung</t>
  </si>
  <si>
    <t>ð</t>
  </si>
  <si>
    <t>Materialkosten</t>
  </si>
  <si>
    <t>ROHERTRAG</t>
  </si>
  <si>
    <t>Zinsaufwand</t>
  </si>
  <si>
    <t>Summe der Aufwendungen</t>
  </si>
  <si>
    <t xml:space="preserve">Junglarven </t>
  </si>
  <si>
    <t>Energiekosten</t>
  </si>
  <si>
    <t>Wasser- und Abwasserkosten</t>
  </si>
  <si>
    <t xml:space="preserve">  Projekt:</t>
  </si>
  <si>
    <t xml:space="preserve">6.  Gewinn und Verlustrechnung </t>
  </si>
  <si>
    <t>Sonstiger betrieblicher Ertrag</t>
  </si>
  <si>
    <t>Summe der Erträge</t>
  </si>
  <si>
    <t>Sonstiger betrieblicher Aufwand (SBA)</t>
  </si>
  <si>
    <t>Zinsen für Darlehen</t>
  </si>
  <si>
    <t>CF1</t>
  </si>
  <si>
    <t>CF2</t>
  </si>
  <si>
    <t>Beginn der Abschreibung:</t>
  </si>
  <si>
    <t>Ende der Abschreibung:</t>
  </si>
  <si>
    <t>13. Abschreibung für Anlagen (AfA)</t>
  </si>
  <si>
    <t>Abschr.-</t>
  </si>
  <si>
    <t>Nutzungs-</t>
  </si>
  <si>
    <t>Anschaffungs-</t>
  </si>
  <si>
    <t>Bemessungsgrundlage</t>
  </si>
  <si>
    <t>Abweichung Abschr.</t>
  </si>
  <si>
    <t>art</t>
  </si>
  <si>
    <t>dauer</t>
  </si>
  <si>
    <t>kosten</t>
  </si>
  <si>
    <t>nach Bauherrenerlass</t>
  </si>
  <si>
    <t>Handelbil. - Steuerbil.</t>
  </si>
  <si>
    <t>(Jahre)</t>
  </si>
  <si>
    <t>gesamt</t>
  </si>
  <si>
    <t>zu aktivierende Kosten</t>
  </si>
  <si>
    <t>(jährlich)</t>
  </si>
  <si>
    <t>a.)</t>
  </si>
  <si>
    <t>Grundstück inkl. Erschließung</t>
  </si>
  <si>
    <t>linear</t>
  </si>
  <si>
    <t>b.)</t>
  </si>
  <si>
    <t>Gebäude</t>
  </si>
  <si>
    <t>c.)</t>
  </si>
  <si>
    <t>d.)</t>
  </si>
  <si>
    <t>Technische Anlagen/Maschinen</t>
  </si>
  <si>
    <t>Jährliche Abschreibung [€/a]</t>
  </si>
  <si>
    <t>Umsatz Insekten</t>
  </si>
  <si>
    <t>Kosten Futtermittel</t>
  </si>
  <si>
    <t xml:space="preserve">Umsatz Dünger </t>
  </si>
  <si>
    <t>Anlagenhersteller und -typ</t>
  </si>
  <si>
    <t>Brennstoffbedarf [tatro p.a.]2</t>
  </si>
  <si>
    <t>Thermische Leistung</t>
  </si>
  <si>
    <r>
      <t>Produktion Biokohle [t</t>
    </r>
    <r>
      <rPr>
        <vertAlign val="subscript"/>
        <sz val="11"/>
        <color theme="1"/>
        <rFont val="Gill Sans Nova Light"/>
        <family val="2"/>
        <scheme val="minor"/>
      </rPr>
      <t>atro</t>
    </r>
    <r>
      <rPr>
        <sz val="12"/>
        <rFont val="Arial"/>
        <family val="2"/>
      </rPr>
      <t xml:space="preserve"> p.a.]</t>
    </r>
  </si>
  <si>
    <t>Richtpreis</t>
  </si>
  <si>
    <t>Biomacon C40-F</t>
  </si>
  <si>
    <t>Biomacon C63-F</t>
  </si>
  <si>
    <t>Biomacon C160-F</t>
  </si>
  <si>
    <t>Biomacon C250-I</t>
  </si>
  <si>
    <t>Biomacon C400-I</t>
  </si>
  <si>
    <t>Biomacon C500-I</t>
  </si>
  <si>
    <t>Pyrolyse</t>
  </si>
  <si>
    <t>Investition</t>
  </si>
  <si>
    <t>Biomacon C100-F</t>
  </si>
  <si>
    <t>Umsatz Biokohlen</t>
  </si>
  <si>
    <r>
      <t>Umsatz CO</t>
    </r>
    <r>
      <rPr>
        <vertAlign val="subscript"/>
        <sz val="10"/>
        <rFont val="Arial"/>
        <family val="2"/>
      </rPr>
      <t>2</t>
    </r>
    <r>
      <rPr>
        <sz val="10"/>
        <rFont val="Arial"/>
        <family val="2"/>
      </rPr>
      <t xml:space="preserve"> Zertifikate</t>
    </r>
  </si>
  <si>
    <t>Umsatz Wärmeverkauf</t>
  </si>
  <si>
    <t>Brennstoff Pyrolyse</t>
  </si>
  <si>
    <t>Hilfs- und Betriebsstoffe</t>
  </si>
  <si>
    <t>Abschreibung</t>
  </si>
  <si>
    <t>Ergebnis der Geschäftstätigkeit (EBT)*</t>
  </si>
  <si>
    <t>ROI</t>
  </si>
  <si>
    <t>Steuer</t>
  </si>
  <si>
    <t>Jahresüberschuss</t>
  </si>
  <si>
    <t xml:space="preserve"> + Abschreibung</t>
  </si>
  <si>
    <t xml:space="preserve"> - Tilgung</t>
  </si>
  <si>
    <t>Eigenkapital</t>
  </si>
  <si>
    <t>CF1 vor Zins und Tilgung</t>
  </si>
  <si>
    <t>Kumulierter Cash Flow 1 (vor Zins und Tilgung)</t>
  </si>
  <si>
    <t>Kumulierter Cash Flow 2 (nach Zins und Tilgung)</t>
  </si>
  <si>
    <t>Aufwendungen</t>
  </si>
  <si>
    <t>Erträge</t>
  </si>
  <si>
    <t>Energie, Wasser</t>
  </si>
  <si>
    <t>Sonstiger Betrieblicher Aufwand</t>
  </si>
  <si>
    <t>IRR</t>
  </si>
  <si>
    <t>Bezeichnung des Futtermittels</t>
  </si>
  <si>
    <t>Produktart</t>
  </si>
  <si>
    <t>Larven der schwarzen Soldatenfliege, lebend</t>
  </si>
  <si>
    <t>QS-ID:</t>
  </si>
  <si>
    <t>Standort-Nummer:</t>
  </si>
  <si>
    <t>Einzelfuttermittel</t>
  </si>
  <si>
    <t>Bezeichnung des hergestellten Futtermittels:</t>
  </si>
  <si>
    <r>
      <t xml:space="preserve">Rückverfolgbarkeit: Informationen zu </t>
    </r>
    <r>
      <rPr>
        <b/>
        <i/>
        <sz val="16"/>
        <color theme="4"/>
        <rFont val="Gill Sans Nova"/>
        <family val="2"/>
        <scheme val="major"/>
      </rPr>
      <t>Kunden</t>
    </r>
    <r>
      <rPr>
        <b/>
        <sz val="16"/>
        <color theme="4"/>
        <rFont val="Gill Sans Nova"/>
        <family val="2"/>
        <scheme val="major"/>
      </rPr>
      <t xml:space="preserve"> der betroffenen Ware</t>
    </r>
  </si>
  <si>
    <t>Lieferdatum</t>
  </si>
  <si>
    <t>Gelieferte Menge</t>
  </si>
  <si>
    <t>Straße, Hausnr.</t>
  </si>
  <si>
    <t>PLZ</t>
  </si>
  <si>
    <t>Ort</t>
  </si>
  <si>
    <t>Daten zum Futtermittel</t>
  </si>
  <si>
    <r>
      <t xml:space="preserve">Name </t>
    </r>
    <r>
      <rPr>
        <i/>
        <sz val="10"/>
        <color theme="0"/>
        <rFont val="Gill Sans Nova"/>
        <family val="2"/>
        <scheme val="major"/>
      </rPr>
      <t>(Firma und Rechtsform)</t>
    </r>
  </si>
  <si>
    <t>Telefon</t>
  </si>
  <si>
    <t>QS-ID</t>
  </si>
  <si>
    <t xml:space="preserve">Gesetzlicher Vertreter: </t>
  </si>
  <si>
    <t xml:space="preserve">Krisenmanager: </t>
  </si>
  <si>
    <t>Daten zum Kunden</t>
  </si>
  <si>
    <t>Bezeichnung des Schrittes</t>
  </si>
  <si>
    <t>Durchzuführende Maßnahmen</t>
  </si>
  <si>
    <t>Sind wir Verursacher?</t>
  </si>
  <si>
    <t>Ermittlung der Futterrezeptur der Charge</t>
  </si>
  <si>
    <t>Festlegung der Chargen der Futtermittel in der Futterrezeptur</t>
  </si>
  <si>
    <t>Anhand des Formblattes "Rückverfolgbarkeit: Informationen zu Lieferanten der betroffenen Futtermittel" und dem Herstellungsdatum müssen die betroffenen Chargen der eingesetzten Futtermittel bestimmt werden. Dabei ist jeweils die Charge eingesetzt worden,  bei der das Datum für den Wareneingang und das Datum des Aufbrauchs der Charge den Zeitraum der Produktion des fehlerhaften Produktes umschließen. Es sei denn das Produktionsdatum liegt in einem Zeitraum, an dem 2 verschiedene Chargen eines Futtermittels auf dem Betriebsgelände waren. Ist dies der Fall, so ist immer die angebrochene Charge die Betroffene.</t>
  </si>
  <si>
    <t>Bestimmung der Lieferanten der Betroffenen Ausgangsstoffe</t>
  </si>
  <si>
    <t>Anhand des Formblattes "Rückverfolgbarkeit: Informationen zu Lieferanten der betroffenen Futtermittel" müssen die entsprechenden Daten zu den Lieferanten der betoffenen Futtermittermittel herausgezogen für QS Verarbeitbar aufbereitet werden</t>
  </si>
  <si>
    <t>Weiterleitung an QS</t>
  </si>
  <si>
    <t>Die Aufbereiteten Daten müssen an QS übermittelt werden</t>
  </si>
  <si>
    <t>Meldung an QS</t>
  </si>
  <si>
    <t>Das Problem, welches eventuell von unserem Produkt stammen könnte, muss unverzüglich QS mitgeteilt werden.</t>
  </si>
  <si>
    <t xml:space="preserve">Ermittlung des Produktionsdatum /Chargennummer </t>
  </si>
  <si>
    <t>Uhrzeit</t>
  </si>
  <si>
    <t>Eingang der Reklamation</t>
  </si>
  <si>
    <t>Dokumentation der eingehenden Reklamation</t>
  </si>
  <si>
    <t>Rückverfolgungsvorgang: Reklamation vom Kunden</t>
  </si>
  <si>
    <t>Ergebnis</t>
  </si>
  <si>
    <t>Rückverfolgungsvorgang: Rückruf durch Lieferanten</t>
  </si>
  <si>
    <t>Eingang des Rückrufes</t>
  </si>
  <si>
    <t>Wurde die betroffene Ware eingesetzt?</t>
  </si>
  <si>
    <t>Dokumentation des Rückrufes : Grund für den Rückruf, Betroffene Rohstoffe, Chargennummer, Lieferdatum, gelieferte Menge</t>
  </si>
  <si>
    <t>Es muss geprüft werden, ob unser Produkt für die beim Kunden auftretenden Probelme verantwortlich sein kann.
Wenn Ja -&gt; Weitere Rückverfolgung
Wenn Nein -&gt; Rückverfolgung abgeschlossen</t>
  </si>
  <si>
    <t>Anhand des Eingangs und des Aufbrauchsdatum des Zurückgerufenen Produktes und Programm des Futtermischers müssen alle Chargennummern der Insektenlarven herausgefunden werden, die mit dem fehlerhaften Futtermittel gefüttert worden sind.</t>
  </si>
  <si>
    <t>Betroffene Ware bereits verkauft?</t>
  </si>
  <si>
    <t>Ermittlung der Kunden, die betroffen Ware erhalten haben</t>
  </si>
  <si>
    <t>Anhand dem Formblatt "Rückverfolgbarkeit: Informationen zu Kunden der betroffenen Ware" und der betroffenen Chargennummern müssen die Kontaktdaten der Kunden, die bereits betroffene Ware erhalten haben ermittelt und für QS verarbeitbar aufbereitet werden.</t>
  </si>
  <si>
    <t>Information der Kunden</t>
  </si>
  <si>
    <t>Mit dem Formblatt "Rückverfolgbarkeit: Informationen zu Kunden der betroffenen Ware" muss herausgefunden werden, ob die Larven, welche mit dem fehlerhaften Futtermittel gefüttert wurden, bereits verkauft wurden. Ist die gesamte Ware oder ein Teil der Ware noch nicht verkauft, so muss ein Verkauf sofort unterbunden und die betroffene Ware gegebenenfalls vernichtet werden. Ist die betroffene Ware bereits komplett oder auch nur zum Teil verkauft, so ist eine weitere Rückverfolgung mit den nächsten Schritten notwendig.</t>
  </si>
  <si>
    <t>Ermittlung weiter eventuell betroffener Kunden</t>
  </si>
  <si>
    <t>Mit dem Formblatt "Rückverfolgbarkeit: Informationen zu Kunden der betroffenen Ware" Müssen alle Kunden ermittelt werden, welche Larven mit der gleichen Charge, wie der reklamierende Kunde erhalten haben. Nach der Ermittlung der Kontaktdaten dieser Abnehmer müssen diese unmittelbar darüber informiert werden, dass möglicherweise ein Problem mit der von uns ausgelieferten Ware vorliegt, damit diese eine Verwendung verhindern, beziehungseise eine weitere Verwendung unterbinden können.</t>
  </si>
  <si>
    <t>Beim Kunden muss nach dem Produktionsdatum und der Chargennummer der Ware, die für den Schaden verantwortlich ist, abgefragt werden</t>
  </si>
  <si>
    <t>Szenario: Lieferant meldet Problem mit Ausgangsstoff</t>
  </si>
  <si>
    <t>Szenario: Kunde meldet Problem mit Produkt</t>
  </si>
  <si>
    <t>Die Betroffenen Kunden müssen unverzüglich darüber informiert werden, dass unser Produkt mit einem fehlerhaften Ausgangsstoff hergestellt wurde, damit diese die Verwendung verhindern beziehungsweise einstellen können.</t>
  </si>
  <si>
    <t>Nr.</t>
  </si>
  <si>
    <t>Spitzöd 1</t>
  </si>
  <si>
    <t>Spitzöd</t>
  </si>
  <si>
    <t>08502/782</t>
  </si>
  <si>
    <t>Lieferscheinnummer</t>
  </si>
  <si>
    <t xml:space="preserve">Chargennummer/
Batch </t>
  </si>
  <si>
    <r>
      <t xml:space="preserve">Rückverfolgbarkeit: Informationen zu </t>
    </r>
    <r>
      <rPr>
        <b/>
        <i/>
        <sz val="20"/>
        <color theme="4"/>
        <rFont val="Gill Sans Nova"/>
        <family val="2"/>
        <scheme val="major"/>
      </rPr>
      <t>Lieferanten</t>
    </r>
    <r>
      <rPr>
        <b/>
        <sz val="20"/>
        <color theme="4"/>
        <rFont val="Gill Sans Nova"/>
        <family val="2"/>
        <scheme val="major"/>
      </rPr>
      <t xml:space="preserve"> der betroffenen Futtermittel</t>
    </r>
  </si>
  <si>
    <t>Betriebsnummer</t>
  </si>
  <si>
    <t>Lieferant</t>
  </si>
  <si>
    <t>E-Mail</t>
  </si>
  <si>
    <t>Zertifizierungssystem</t>
  </si>
  <si>
    <t>QS</t>
  </si>
  <si>
    <t>Produktionsart</t>
  </si>
  <si>
    <t>Lieferart</t>
  </si>
  <si>
    <t>092751220010</t>
  </si>
  <si>
    <t>Wurde die zrückgerufene Ware bereits eingesetzt, muss QS unverzüglich informiert werden.</t>
  </si>
  <si>
    <t>Landwirtschaft</t>
  </si>
  <si>
    <t>Fam. Manfred Aue</t>
  </si>
  <si>
    <t>betroffene Charge</t>
  </si>
  <si>
    <t>Es muss geprüft werden, ob die betroffenen Chargen an Futtermitteln bereits angebrochen wurden. Dafür wird im Formblatt "Rückverfolgbarkeit: Informationen zu Lieferanten der betroffenen Futtermittel" überprüft, ob das Namensgleiche Futtermittel der zuvor gelieferten Charge bereits aufgebraucht ist. Ist dieses noch nicht aufgebraucht kann Entwarnung gegeben werden, da dann die betroffene Charge noch nicht eingesetzt wurde. 
Ware noch nicht eingesetzt -&gt; Entwarnung
Ware bereits angebrochen oder aufgebraucht -&gt; Weitere Rückverfolgung</t>
  </si>
  <si>
    <t>info@aue-spitzoed.de</t>
  </si>
  <si>
    <t>Lieferantenbewertung
(Benotungssystem 1 - 6)</t>
  </si>
  <si>
    <t>Larven der schwarzen Soldatenfliege</t>
  </si>
  <si>
    <t>Manfred Aue</t>
  </si>
  <si>
    <t>Spedition NAME</t>
  </si>
  <si>
    <t>Endbestand verkauft am</t>
  </si>
  <si>
    <t>INSEKTIVO</t>
  </si>
  <si>
    <t>Helmut Hoffmann</t>
  </si>
  <si>
    <t>Im System des Futtermischers muss die genaue Rezeptur und somit die eingesetzten Futtermittel in der Betroffenen Charge herausgesucht werden.</t>
  </si>
  <si>
    <t>Daten zum Lieferanten</t>
  </si>
  <si>
    <t>Ansprechpartner</t>
  </si>
  <si>
    <t>Zertifizierungs-system</t>
  </si>
  <si>
    <t>Standortnummer</t>
  </si>
  <si>
    <t>GMP+</t>
  </si>
  <si>
    <t>Zertifikat gültig bis</t>
  </si>
  <si>
    <t>Larven der schwarzen Soldatenfliege (lebend)</t>
  </si>
  <si>
    <t>Rückverfolgbarkeit: zugelassene Lieferanten</t>
  </si>
  <si>
    <t>Aue Manfred</t>
  </si>
  <si>
    <t>Kleinsterzeuger</t>
  </si>
  <si>
    <t>Fürstenzell</t>
  </si>
  <si>
    <t>KE00001086 (73)</t>
  </si>
  <si>
    <t>Rückverfolgbarkeit: zugelassene Speditionen</t>
  </si>
  <si>
    <t>Daten zur Spedition</t>
  </si>
  <si>
    <t>Daten zum transportierten Futtermittel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</si>
</sst>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44" formatCode="_-* #,##0.00\ &quot;€&quot;_-;\-* #,##0.00\ &quot;€&quot;_-;_-* &quot;-&quot;??\ &quot;€&quot;_-;_-@_-"/>
    <numFmt numFmtId="43" formatCode="_-* #,##0.00_-;\-* #,##0.00_-;_-* &quot;-&quot;??_-;_-@_-"/>
    <numFmt numFmtId="164" formatCode="_-* #,##0.00\ _€_-;\-* #,##0.00\ _€_-;_-* &quot;-&quot;??\ _€_-;_-@_-"/>
    <numFmt numFmtId="165" formatCode="_(&quot;€&quot;* #,##0.00_);_(&quot;€&quot;* \(#,##0.00\);_(&quot;€&quot;* &quot;-&quot;??_);_(@_)"/>
    <numFmt numFmtId="166" formatCode="_ * #,##0.00_ ;_ * \-#,##0.00_ ;_ * &quot;-&quot;??_ ;_ @_ "/>
    <numFmt numFmtId="167" formatCode="#,##0_ ;\-#,##0\ "/>
    <numFmt numFmtId="168" formatCode="0.00%;\-0.00%;\-"/>
    <numFmt numFmtId="169" formatCode="#,##0;[Red]\-\ #,##0"/>
    <numFmt numFmtId="170" formatCode="#,##0\ __;[Red]\-\ #,##0\ __"/>
    <numFmt numFmtId="171" formatCode="#,##0\ __;[Red]&quot;- &quot;#,##0\ __"/>
    <numFmt numFmtId="172" formatCode="#,##0.00;[Red]\-\ #,##0.00"/>
    <numFmt numFmtId="173" formatCode="#,##0.00\ __;[Red]\-\ #,##0.00\ __"/>
    <numFmt numFmtId="174" formatCode="#,##0.00\ __;[Red]&quot;- &quot;#,##0.00\ __"/>
    <numFmt numFmtId="175" formatCode="#,##0.00;[Red]&quot;- &quot;#,##0.00"/>
    <numFmt numFmtId="176" formatCode="#,##0;[Red]&quot;- &quot;#,##0"/>
    <numFmt numFmtId="177" formatCode="#,##0.00;[Red]&quot;./.&quot;* #,##0.00"/>
    <numFmt numFmtId="178" formatCode="#,##0.00\ __;[Red]&quot;./.&quot;* #,##0.00\ __"/>
    <numFmt numFmtId="179" formatCode="#,##0.00;[Red]&quot;./.&quot;\ #,##0.00"/>
    <numFmt numFmtId="180" formatCode="#,##0.00\ __;[Red]&quot;./. &quot;#,##0.00\ __"/>
    <numFmt numFmtId="181" formatCode="#,##0.00;[Red]&quot;./. &quot;#,##0.00"/>
    <numFmt numFmtId="182" formatCode="&quot;    DM&quot;* #,##0\ __;[Red]&quot;./. DM&quot;* #,##0\ __"/>
    <numFmt numFmtId="183" formatCode="&quot;    DM&quot;* #,##0.00;[Red]&quot;./. DM&quot;* #,##0.00"/>
    <numFmt numFmtId="184" formatCode="&quot;    DM&quot;* #,##0.00\ __;[Red]&quot;./. DM&quot;* #,##0.00\ __"/>
    <numFmt numFmtId="185" formatCode="#,##0.00_ ;[Red]\-#,##0.00;\-"/>
    <numFmt numFmtId="186" formatCode="#,##0;\-#,##0;\-"/>
    <numFmt numFmtId="187" formatCode="#,##0__;[Red]#,##0__;;@__"/>
    <numFmt numFmtId="188" formatCode="#,##0;[Red]#,##0;"/>
    <numFmt numFmtId="189" formatCode="#,##0.00__;[Red]#,##0.00__;;@__"/>
    <numFmt numFmtId="190" formatCode="#,##0.00;[Red]#,##0.00;"/>
    <numFmt numFmtId="191" formatCode="#,##0.000;\-#,##0.000;\-"/>
    <numFmt numFmtId="192" formatCode="#,##0\ &quot;€&quot;\ \ "/>
    <numFmt numFmtId="193" formatCode="0\ \ "/>
    <numFmt numFmtId="194" formatCode="#,##0\ \ "/>
    <numFmt numFmtId="195" formatCode="_(* #,##0.00_);_(* \(#,##0.00\);_(* &quot;-&quot;??_);_(@_)"/>
    <numFmt numFmtId="196" formatCode="_(* #,##0_);_(* \(#,##0\);_(* &quot;-&quot;??_);_(@_)"/>
    <numFmt numFmtId="197" formatCode="&quot;Fail&quot;;;&quot;Ok&quot;"/>
    <numFmt numFmtId="198" formatCode="#,##0_-;\ \(#,##0\);_-* &quot;-&quot;??;_-@_-"/>
    <numFmt numFmtId="199" formatCode="0.00\ &quot;x&quot;"/>
    <numFmt numFmtId="200" formatCode="_(* #,##0.0_);_(* \(#,##0.0\);_(* &quot;-&quot;??_);_(@_)"/>
    <numFmt numFmtId="201" formatCode="d\ mmm\ yy"/>
    <numFmt numFmtId="202" formatCode="_(* #,##0.00%_);_(* \(#,##0.00%\);_(* &quot;-&quot;??_);_(@_)"/>
    <numFmt numFmtId="203" formatCode="0.0000"/>
    <numFmt numFmtId="204" formatCode="&quot;Case &quot;0"/>
    <numFmt numFmtId="205" formatCode="#,##0\ &quot;kW&quot;\ \ "/>
    <numFmt numFmtId="206" formatCode="#,##0\ &quot;t&quot;\ \ "/>
    <numFmt numFmtId="207" formatCode="#,###\ &quot;kg&quot;"/>
    <numFmt numFmtId="208" formatCode="00"/>
    <numFmt numFmtId="209" formatCode="#,###.00\ &quot;kg&quot;"/>
    <numFmt numFmtId="210" formatCode="&quot;0&quot;#"/>
    <numFmt numFmtId="211" formatCode="0.0%"/>
  </numFmts>
  <fonts count="114">
    <font>
      <sz val="12"/>
      <name val="Arial"/>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1"/>
      <color theme="1"/>
      <name val="Gill Sans Nova Light"/>
      <family val="2"/>
      <scheme val="minor"/>
    </font>
    <font>
      <sz val="12"/>
      <name val="Arial"/>
      <family val="2"/>
    </font>
    <font>
      <sz val="10"/>
      <name val="Arial"/>
      <family val="2"/>
    </font>
    <font>
      <sz val="10"/>
      <name val="Courier"/>
      <family val="3"/>
    </font>
    <font>
      <b/>
      <sz val="10"/>
      <name val="Arial"/>
      <family val="2"/>
    </font>
    <font>
      <b/>
      <sz val="12"/>
      <name val="Arial"/>
      <family val="2"/>
    </font>
    <font>
      <sz val="8"/>
      <name val="Arial"/>
      <family val="2"/>
    </font>
    <font>
      <sz val="8"/>
      <name val="Univers 45 Light"/>
      <family val="2"/>
    </font>
    <font>
      <i/>
      <sz val="10"/>
      <name val="Arial"/>
      <family val="2"/>
    </font>
    <font>
      <b/>
      <sz val="11"/>
      <name val="Arial"/>
      <family val="2"/>
    </font>
    <font>
      <sz val="11"/>
      <name val="Arial"/>
      <family val="2"/>
    </font>
    <font>
      <b/>
      <sz val="10"/>
      <color indexed="10"/>
      <name val="Arial"/>
      <family val="2"/>
    </font>
    <font>
      <sz val="10"/>
      <name val="Times New Roman"/>
      <family val="1"/>
    </font>
    <font>
      <b/>
      <i/>
      <sz val="10"/>
      <name val="Arial"/>
      <family val="2"/>
    </font>
    <font>
      <sz val="10"/>
      <name val="Arial"/>
      <family val="2"/>
    </font>
    <font>
      <sz val="11"/>
      <color theme="1"/>
      <name val="Gill Sans Nova Light"/>
      <family val="2"/>
      <scheme val="minor"/>
    </font>
    <font>
      <b/>
      <sz val="10"/>
      <color rgb="FFFF0000"/>
      <name val="Arial"/>
      <family val="2"/>
    </font>
    <font>
      <b/>
      <sz val="10"/>
      <name val="Arial"/>
      <family val="2"/>
    </font>
    <font>
      <i/>
      <sz val="10"/>
      <name val="Arial"/>
      <family val="2"/>
    </font>
    <font>
      <b/>
      <i/>
      <sz val="10"/>
      <name val="Arial"/>
      <family val="2"/>
    </font>
    <font>
      <b/>
      <i/>
      <sz val="9"/>
      <name val="Arial"/>
      <family val="2"/>
    </font>
    <font>
      <b/>
      <sz val="9"/>
      <name val="Arial"/>
      <family val="2"/>
    </font>
    <font>
      <sz val="10"/>
      <name val="Arial"/>
      <family val="2"/>
    </font>
    <font>
      <sz val="12"/>
      <name val="Arial"/>
      <family val="2"/>
    </font>
    <font>
      <b/>
      <sz val="11"/>
      <color theme="1"/>
      <name val="Gill Sans Nova Light"/>
      <family val="2"/>
      <scheme val="minor"/>
    </font>
    <font>
      <b/>
      <sz val="14"/>
      <color theme="0"/>
      <name val="Arial"/>
      <family val="2"/>
    </font>
    <font>
      <sz val="14"/>
      <color theme="0"/>
      <name val="Arial"/>
      <family val="2"/>
    </font>
    <font>
      <b/>
      <sz val="10"/>
      <color theme="0"/>
      <name val="Arial"/>
      <family val="2"/>
    </font>
    <font>
      <sz val="10"/>
      <color indexed="55"/>
      <name val="Arial"/>
      <family val="2"/>
    </font>
    <font>
      <sz val="10"/>
      <color indexed="16"/>
      <name val="Arial"/>
      <family val="2"/>
    </font>
    <font>
      <sz val="10"/>
      <color indexed="59"/>
      <name val="Arial"/>
      <family val="2"/>
    </font>
    <font>
      <sz val="10"/>
      <color indexed="23"/>
      <name val="Arial"/>
      <family val="2"/>
    </font>
    <font>
      <b/>
      <sz val="10"/>
      <color indexed="55"/>
      <name val="Arial"/>
      <family val="2"/>
    </font>
    <font>
      <b/>
      <sz val="10"/>
      <color indexed="56"/>
      <name val="Arial"/>
      <family val="2"/>
    </font>
    <font>
      <u/>
      <sz val="12"/>
      <name val="Arial"/>
      <family val="2"/>
    </font>
    <font>
      <sz val="10"/>
      <name val="Helvetica-Narrow"/>
      <family val="2"/>
    </font>
    <font>
      <sz val="10"/>
      <color indexed="55"/>
      <name val="Helvetica-Narrow"/>
      <family val="2"/>
    </font>
    <font>
      <sz val="8"/>
      <name val="Calibri"/>
      <family val="2"/>
    </font>
    <font>
      <b/>
      <sz val="18"/>
      <color indexed="55"/>
      <name val="Arial"/>
      <family val="2"/>
    </font>
    <font>
      <b/>
      <sz val="18"/>
      <color indexed="62"/>
      <name val="Helvetica-Narrow"/>
      <family val="2"/>
    </font>
    <font>
      <sz val="10"/>
      <name val="Helvetica"/>
      <family val="2"/>
    </font>
    <font>
      <sz val="10"/>
      <color indexed="12"/>
      <name val="Helvetica-Narrow"/>
      <family val="2"/>
    </font>
    <font>
      <i/>
      <sz val="10"/>
      <color indexed="55"/>
      <name val="Helvetica-Narrow"/>
      <family val="2"/>
    </font>
    <font>
      <sz val="10"/>
      <color indexed="12"/>
      <name val="Arial"/>
      <family val="2"/>
    </font>
    <font>
      <sz val="18"/>
      <name val="Arial"/>
      <family val="2"/>
    </font>
    <font>
      <b/>
      <sz val="18"/>
      <color indexed="12"/>
      <name val="Helvetica-Narrow"/>
      <family val="2"/>
    </font>
    <font>
      <sz val="10"/>
      <color indexed="9"/>
      <name val="Helvetica-Narrow"/>
      <family val="2"/>
    </font>
    <font>
      <b/>
      <sz val="16"/>
      <color indexed="12"/>
      <name val="Arial"/>
      <family val="2"/>
    </font>
    <font>
      <sz val="10"/>
      <color theme="0" tint="-0.24994659260841701"/>
      <name val="Helvetica-Narrow"/>
      <family val="2"/>
    </font>
    <font>
      <b/>
      <sz val="10"/>
      <color indexed="8"/>
      <name val="Arial"/>
      <family val="2"/>
    </font>
    <font>
      <b/>
      <sz val="12"/>
      <color theme="0"/>
      <name val="Arial"/>
      <family val="2"/>
    </font>
    <font>
      <sz val="11"/>
      <color theme="1"/>
      <name val="Arial"/>
      <family val="2"/>
    </font>
    <font>
      <b/>
      <sz val="11"/>
      <color theme="1"/>
      <name val="Arial"/>
      <family val="2"/>
    </font>
    <font>
      <sz val="10"/>
      <color theme="1"/>
      <name val="Arial"/>
      <family val="2"/>
    </font>
    <font>
      <b/>
      <sz val="10"/>
      <color theme="1"/>
      <name val="Arial"/>
      <family val="2"/>
    </font>
    <font>
      <sz val="12"/>
      <color theme="1"/>
      <name val="Arial"/>
      <family val="2"/>
    </font>
    <font>
      <sz val="12"/>
      <name val="Arial"/>
      <family val="2"/>
    </font>
    <font>
      <sz val="12"/>
      <color theme="1"/>
      <name val="Wingdings"/>
      <charset val="2"/>
    </font>
    <font>
      <vertAlign val="subscript"/>
      <sz val="11"/>
      <color theme="1"/>
      <name val="Gill Sans Nova Light"/>
      <family val="2"/>
      <scheme val="minor"/>
    </font>
    <font>
      <sz val="11"/>
      <name val="Gill Sans Nova Light"/>
      <family val="2"/>
    </font>
    <font>
      <u/>
      <sz val="11"/>
      <color theme="10"/>
      <name val="Gill Sans Nova Light"/>
      <family val="2"/>
      <scheme val="minor"/>
    </font>
    <font>
      <sz val="11"/>
      <color theme="1"/>
      <name val="Gill Sans Nova Light"/>
      <family val="2"/>
    </font>
    <font>
      <vertAlign val="subscript"/>
      <sz val="10"/>
      <name val="Arial"/>
      <family val="2"/>
    </font>
    <font>
      <b/>
      <sz val="11"/>
      <color theme="1"/>
      <name val="Gill Sans Nova Light"/>
      <family val="2"/>
    </font>
    <font>
      <b/>
      <u/>
      <sz val="11"/>
      <color theme="1"/>
      <name val="Gill Sans Nova Light"/>
      <family val="2"/>
    </font>
    <font>
      <sz val="11"/>
      <name val="Gill Sans Nova Light"/>
      <family val="2"/>
      <scheme val="minor"/>
    </font>
    <font>
      <sz val="11"/>
      <color theme="0"/>
      <name val="Gill Sans Nova"/>
      <family val="2"/>
      <scheme val="major"/>
    </font>
    <font>
      <sz val="12"/>
      <color theme="0"/>
      <name val="Gill Sans Nova"/>
      <family val="2"/>
      <scheme val="major"/>
    </font>
    <font>
      <sz val="11"/>
      <color theme="1"/>
      <name val="Gill Sans Nova"/>
      <family val="2"/>
      <scheme val="major"/>
    </font>
    <font>
      <i/>
      <sz val="10"/>
      <color theme="0"/>
      <name val="Gill Sans Nova"/>
      <family val="2"/>
      <scheme val="major"/>
    </font>
    <font>
      <sz val="14"/>
      <color theme="1"/>
      <name val="Gill Sans Nova"/>
      <family val="2"/>
      <scheme val="major"/>
    </font>
    <font>
      <b/>
      <sz val="16"/>
      <color theme="4"/>
      <name val="Gill Sans Nova"/>
      <family val="2"/>
      <scheme val="major"/>
    </font>
    <font>
      <b/>
      <i/>
      <sz val="16"/>
      <color theme="4"/>
      <name val="Gill Sans Nova"/>
      <family val="2"/>
      <scheme val="major"/>
    </font>
    <font>
      <sz val="12"/>
      <name val="Arial"/>
      <family val="2"/>
    </font>
    <font>
      <i/>
      <sz val="12"/>
      <color theme="0"/>
      <name val="Gill Sans Nova"/>
      <family val="2"/>
      <scheme val="major"/>
    </font>
    <font>
      <i/>
      <sz val="14"/>
      <color theme="0"/>
      <name val="Gill Sans Nova"/>
      <family val="2"/>
      <scheme val="major"/>
    </font>
    <font>
      <sz val="11"/>
      <name val="Gill Sans Nova"/>
      <family val="2"/>
      <scheme val="major"/>
    </font>
    <font>
      <sz val="14"/>
      <color theme="1"/>
      <name val="Gill Sans Nova Light"/>
      <family val="2"/>
      <scheme val="minor"/>
    </font>
    <font>
      <sz val="10"/>
      <name val="Gill Sans Nova Light"/>
      <family val="2"/>
    </font>
    <font>
      <sz val="11"/>
      <color rgb="FFFF0000"/>
      <name val="Gill Sans Nova Light"/>
      <family val="2"/>
      <scheme val="minor"/>
    </font>
    <font>
      <sz val="14"/>
      <name val="Gill Sans Nova Light"/>
      <family val="2"/>
      <scheme val="minor"/>
    </font>
    <font>
      <b/>
      <sz val="20"/>
      <color theme="4"/>
      <name val="Gill Sans Nova"/>
      <family val="2"/>
      <scheme val="major"/>
    </font>
    <font>
      <b/>
      <i/>
      <sz val="20"/>
      <color theme="4"/>
      <name val="Gill Sans Nova"/>
      <family val="2"/>
      <scheme val="major"/>
    </font>
    <font>
      <b/>
      <u/>
      <sz val="20"/>
      <color theme="1"/>
      <name val="Gill Sans Nova Light"/>
      <family val="2"/>
    </font>
    <font>
      <sz val="20"/>
      <color theme="1"/>
      <name val="Gill Sans Nova Light"/>
      <family val="2"/>
    </font>
    <font>
      <sz val="12"/>
      <color theme="1"/>
      <name val="Gill Sans Nova"/>
      <family val="2"/>
      <scheme val="major"/>
    </font>
    <font>
      <sz val="12"/>
      <color theme="1"/>
      <name val="Gill Sans Nova Light"/>
      <family val="2"/>
    </font>
    <font>
      <b/>
      <sz val="12"/>
      <color theme="1"/>
      <name val="Gill Sans Nova Light"/>
      <family val="2"/>
    </font>
    <font>
      <u/>
      <sz val="12"/>
      <color theme="10"/>
      <name val="Arial"/>
      <family val="2"/>
    </font>
  </fonts>
  <fills count="3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indexed="22"/>
        <bgColor indexed="31"/>
      </patternFill>
    </fill>
    <fill>
      <patternFill patternType="solid">
        <fgColor indexed="26"/>
        <bgColor indexed="9"/>
      </patternFill>
    </fill>
    <fill>
      <patternFill patternType="solid">
        <fgColor indexed="41"/>
        <bgColor indexed="64"/>
      </patternFill>
    </fill>
    <fill>
      <patternFill patternType="solid">
        <fgColor theme="2"/>
        <bgColor indexed="64"/>
      </patternFill>
    </fill>
    <fill>
      <patternFill patternType="solid">
        <fgColor indexed="44"/>
        <bgColor indexed="64"/>
      </patternFill>
    </fill>
    <fill>
      <patternFill patternType="lightGray">
        <bgColor indexed="9"/>
      </patternFill>
    </fill>
    <fill>
      <patternFill patternType="solid">
        <fgColor indexed="9"/>
        <bgColor indexed="14"/>
      </patternFill>
    </fill>
    <fill>
      <patternFill patternType="solid">
        <fgColor indexed="63"/>
        <bgColor indexed="14"/>
      </patternFill>
    </fill>
    <fill>
      <patternFill patternType="lightUp">
        <fgColor indexed="23"/>
      </patternFill>
    </fill>
    <fill>
      <patternFill patternType="solid">
        <fgColor indexed="63"/>
        <bgColor indexed="64"/>
      </patternFill>
    </fill>
    <fill>
      <patternFill patternType="solid">
        <fgColor indexed="45"/>
        <bgColor indexed="64"/>
      </patternFill>
    </fill>
    <fill>
      <patternFill patternType="solid">
        <fgColor indexed="13"/>
        <bgColor indexed="64"/>
      </patternFill>
    </fill>
    <fill>
      <patternFill patternType="solid">
        <fgColor indexed="47"/>
        <bgColor indexed="64"/>
      </patternFill>
    </fill>
    <fill>
      <patternFill patternType="solid">
        <fgColor indexed="12"/>
        <bgColor indexed="64"/>
      </patternFill>
    </fill>
    <fill>
      <patternFill patternType="lightVertical">
        <fgColor theme="3" tint="0.39994506668294322"/>
        <bgColor indexed="9"/>
      </patternFill>
    </fill>
    <fill>
      <patternFill patternType="solid">
        <fgColor indexed="43"/>
        <bgColor indexed="64"/>
      </patternFill>
    </fill>
    <fill>
      <patternFill patternType="solid">
        <fgColor indexed="52"/>
        <bgColor indexed="64"/>
      </patternFill>
    </fill>
    <fill>
      <patternFill patternType="solid">
        <fgColor rgb="FFAF5014"/>
        <bgColor indexed="64"/>
      </patternFill>
    </fill>
    <fill>
      <patternFill patternType="solid">
        <fgColor theme="5" tint="0.79998168889431442"/>
        <bgColor indexed="64"/>
      </patternFill>
    </fill>
    <fill>
      <patternFill patternType="solid">
        <fgColor rgb="FFFF0000"/>
        <bgColor indexed="64"/>
      </patternFill>
    </fill>
    <fill>
      <patternFill patternType="solid">
        <fgColor rgb="FF3C7460"/>
        <bgColor indexed="64"/>
      </patternFill>
    </fill>
    <fill>
      <patternFill patternType="solid">
        <fgColor rgb="FFB3D7CA"/>
        <bgColor indexed="64"/>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4"/>
        <bgColor indexed="64"/>
      </patternFill>
    </fill>
    <fill>
      <patternFill patternType="solid">
        <fgColor theme="0"/>
        <bgColor indexed="64"/>
      </patternFill>
    </fill>
    <fill>
      <patternFill patternType="solid">
        <fgColor theme="7"/>
        <bgColor indexed="64"/>
      </patternFill>
    </fill>
    <fill>
      <patternFill patternType="solid">
        <fgColor rgb="FFB3C43E"/>
        <bgColor indexed="64"/>
      </patternFill>
    </fill>
  </fills>
  <borders count="84">
    <border>
      <left/>
      <right/>
      <top/>
      <bottom/>
      <diagonal/>
    </border>
    <border>
      <left/>
      <right/>
      <top style="thin">
        <color indexed="64"/>
      </top>
      <bottom style="thin">
        <color indexed="64"/>
      </bottom>
      <diagonal/>
    </border>
    <border>
      <left/>
      <right/>
      <top style="thin">
        <color indexed="64"/>
      </top>
      <bottom style="double">
        <color indexed="64"/>
      </bottom>
      <diagonal/>
    </border>
    <border>
      <left/>
      <right/>
      <top/>
      <bottom style="medium">
        <color indexed="64"/>
      </bottom>
      <diagonal/>
    </border>
    <border>
      <left/>
      <right/>
      <top/>
      <bottom style="hair">
        <color indexed="22"/>
      </bottom>
      <diagonal/>
    </border>
    <border>
      <left style="thin">
        <color rgb="FF003300"/>
      </left>
      <right style="thin">
        <color rgb="FF003300"/>
      </right>
      <top style="thin">
        <color rgb="FF003300"/>
      </top>
      <bottom/>
      <diagonal/>
    </border>
    <border>
      <left style="thin">
        <color indexed="64"/>
      </left>
      <right style="thin">
        <color indexed="64"/>
      </right>
      <top style="thin">
        <color indexed="64"/>
      </top>
      <bottom style="thin">
        <color indexed="64"/>
      </bottom>
      <diagonal/>
    </border>
    <border>
      <left style="thin">
        <color indexed="12"/>
      </left>
      <right style="thin">
        <color indexed="12"/>
      </right>
      <top style="thin">
        <color indexed="12"/>
      </top>
      <bottom style="thin">
        <color indexed="12"/>
      </bottom>
      <diagonal/>
    </border>
    <border>
      <left style="thin">
        <color indexed="55"/>
      </left>
      <right style="thin">
        <color indexed="55"/>
      </right>
      <top style="thin">
        <color indexed="55"/>
      </top>
      <bottom style="thin">
        <color indexed="55"/>
      </bottom>
      <diagonal/>
    </border>
    <border>
      <left style="thin">
        <color indexed="16"/>
      </left>
      <right style="thin">
        <color indexed="16"/>
      </right>
      <top style="thin">
        <color indexed="16"/>
      </top>
      <bottom style="thin">
        <color indexed="1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55"/>
      </top>
      <bottom style="double">
        <color indexed="55"/>
      </bottom>
      <diagonal/>
    </border>
    <border>
      <left style="thin">
        <color indexed="59"/>
      </left>
      <right style="thin">
        <color indexed="59"/>
      </right>
      <top style="thin">
        <color indexed="59"/>
      </top>
      <bottom style="thin">
        <color indexed="59"/>
      </bottom>
      <diagonal/>
    </border>
    <border>
      <left style="thin">
        <color indexed="58"/>
      </left>
      <right style="thin">
        <color indexed="58"/>
      </right>
      <top style="thin">
        <color indexed="58"/>
      </top>
      <bottom style="thin">
        <color indexed="58"/>
      </bottom>
      <diagonal/>
    </border>
    <border>
      <left/>
      <right/>
      <top/>
      <bottom style="thick">
        <color indexed="62"/>
      </bottom>
      <diagonal/>
    </border>
    <border>
      <left style="thin">
        <color indexed="18"/>
      </left>
      <right style="thin">
        <color indexed="18"/>
      </right>
      <top style="thin">
        <color indexed="18"/>
      </top>
      <bottom style="thin">
        <color indexed="18"/>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left style="thin">
        <color rgb="FF004238"/>
      </left>
      <right style="thin">
        <color rgb="FF004238"/>
      </right>
      <top style="thin">
        <color rgb="FF004238"/>
      </top>
      <bottom style="thin">
        <color rgb="FF004238"/>
      </bottom>
      <diagonal/>
    </border>
    <border>
      <left style="thin">
        <color rgb="FF004238"/>
      </left>
      <right/>
      <top/>
      <bottom/>
      <diagonal/>
    </border>
    <border>
      <left/>
      <right style="thin">
        <color rgb="FF004238"/>
      </right>
      <top/>
      <bottom/>
      <diagonal/>
    </border>
    <border>
      <left style="thin">
        <color rgb="FF004238"/>
      </left>
      <right/>
      <top/>
      <bottom style="thin">
        <color rgb="FF004238"/>
      </bottom>
      <diagonal/>
    </border>
    <border>
      <left/>
      <right/>
      <top/>
      <bottom style="thin">
        <color rgb="FF004238"/>
      </bottom>
      <diagonal/>
    </border>
    <border>
      <left style="thin">
        <color rgb="FF004238"/>
      </left>
      <right/>
      <top style="thin">
        <color rgb="FF004238"/>
      </top>
      <bottom style="thin">
        <color rgb="FF004238"/>
      </bottom>
      <diagonal/>
    </border>
    <border>
      <left/>
      <right/>
      <top style="thin">
        <color rgb="FF004238"/>
      </top>
      <bottom style="thin">
        <color rgb="FF004238"/>
      </bottom>
      <diagonal/>
    </border>
    <border>
      <left/>
      <right style="thin">
        <color rgb="FF004238"/>
      </right>
      <top style="thin">
        <color rgb="FF004238"/>
      </top>
      <bottom style="thin">
        <color rgb="FF004238"/>
      </bottom>
      <diagonal/>
    </border>
    <border>
      <left/>
      <right/>
      <top style="thin">
        <color rgb="FF004238"/>
      </top>
      <bottom/>
      <diagonal/>
    </border>
    <border>
      <left style="thin">
        <color rgb="FF004238"/>
      </left>
      <right/>
      <top style="thin">
        <color rgb="FF004238"/>
      </top>
      <bottom/>
      <diagonal/>
    </border>
    <border>
      <left style="thin">
        <color rgb="FF004238"/>
      </left>
      <right style="thin">
        <color rgb="FF004238"/>
      </right>
      <top style="thin">
        <color rgb="FF004238"/>
      </top>
      <bottom/>
      <diagonal/>
    </border>
    <border>
      <left style="thin">
        <color rgb="FF004238"/>
      </left>
      <right style="thin">
        <color rgb="FF004238"/>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3C7460"/>
      </left>
      <right style="thin">
        <color rgb="FF3C7460"/>
      </right>
      <top style="thin">
        <color rgb="FF3C7460"/>
      </top>
      <bottom style="thin">
        <color rgb="FF3C7460"/>
      </bottom>
      <diagonal/>
    </border>
    <border>
      <left/>
      <right/>
      <top style="thin">
        <color rgb="FF3C7460"/>
      </top>
      <bottom/>
      <diagonal/>
    </border>
    <border>
      <left/>
      <right/>
      <top style="thin">
        <color rgb="FF3C7460"/>
      </top>
      <bottom style="thin">
        <color rgb="FF3C7460"/>
      </bottom>
      <diagonal/>
    </border>
    <border>
      <left style="thin">
        <color rgb="FF004238"/>
      </left>
      <right/>
      <top style="thin">
        <color rgb="FF3C7460"/>
      </top>
      <bottom style="thin">
        <color rgb="FF3C7460"/>
      </bottom>
      <diagonal/>
    </border>
    <border>
      <left style="thin">
        <color rgb="FF004238"/>
      </left>
      <right/>
      <top style="thin">
        <color rgb="FF3C7460"/>
      </top>
      <bottom/>
      <diagonal/>
    </border>
    <border>
      <left style="thin">
        <color rgb="FF004238"/>
      </left>
      <right style="thin">
        <color rgb="FF004238"/>
      </right>
      <top style="thin">
        <color rgb="FF3C7460"/>
      </top>
      <bottom/>
      <diagonal/>
    </border>
    <border>
      <left style="thin">
        <color rgb="FF004238"/>
      </left>
      <right style="thin">
        <color rgb="FF004238"/>
      </right>
      <top style="thin">
        <color rgb="FF3C7460"/>
      </top>
      <bottom style="thin">
        <color rgb="FF3C7460"/>
      </bottom>
      <diagonal/>
    </border>
    <border>
      <left/>
      <right style="hair">
        <color indexed="64"/>
      </right>
      <top/>
      <bottom/>
      <diagonal/>
    </border>
    <border>
      <left style="hair">
        <color indexed="64"/>
      </left>
      <right style="hair">
        <color indexed="64"/>
      </right>
      <top/>
      <bottom/>
      <diagonal/>
    </border>
    <border>
      <left style="thin">
        <color theme="4"/>
      </left>
      <right style="hair">
        <color indexed="64"/>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style="thin">
        <color theme="4"/>
      </right>
      <top/>
      <bottom/>
      <diagonal/>
    </border>
    <border>
      <left style="thin">
        <color theme="4"/>
      </left>
      <right style="dashed">
        <color theme="4"/>
      </right>
      <top style="thin">
        <color theme="4"/>
      </top>
      <bottom/>
      <diagonal/>
    </border>
    <border>
      <left style="thin">
        <color theme="4"/>
      </left>
      <right style="dashed">
        <color theme="4"/>
      </right>
      <top/>
      <bottom/>
      <diagonal/>
    </border>
    <border>
      <left style="dashed">
        <color theme="4"/>
      </left>
      <right style="dashed">
        <color theme="4"/>
      </right>
      <top style="thin">
        <color theme="4"/>
      </top>
      <bottom/>
      <diagonal/>
    </border>
    <border>
      <left style="dashed">
        <color theme="4"/>
      </left>
      <right style="dashed">
        <color theme="4"/>
      </right>
      <top/>
      <bottom/>
      <diagonal/>
    </border>
    <border>
      <left/>
      <right style="dashed">
        <color theme="4"/>
      </right>
      <top style="thin">
        <color theme="4"/>
      </top>
      <bottom/>
      <diagonal/>
    </border>
    <border>
      <left/>
      <right style="dashed">
        <color theme="4"/>
      </right>
      <top/>
      <bottom/>
      <diagonal/>
    </border>
    <border>
      <left style="thin">
        <color theme="4"/>
      </left>
      <right style="dashed">
        <color theme="4"/>
      </right>
      <top/>
      <bottom style="thin">
        <color theme="4"/>
      </bottom>
      <diagonal/>
    </border>
    <border>
      <left style="dashed">
        <color theme="4"/>
      </left>
      <right style="dashed">
        <color theme="4"/>
      </right>
      <top/>
      <bottom style="thin">
        <color theme="4"/>
      </bottom>
      <diagonal/>
    </border>
    <border>
      <left/>
      <right style="dashed">
        <color theme="4"/>
      </right>
      <top/>
      <bottom style="thin">
        <color theme="4"/>
      </bottom>
      <diagonal/>
    </border>
    <border>
      <left/>
      <right/>
      <top/>
      <bottom style="thin">
        <color theme="4"/>
      </bottom>
      <diagonal/>
    </border>
    <border>
      <left style="thin">
        <color theme="4"/>
      </left>
      <right style="thin">
        <color theme="4"/>
      </right>
      <top/>
      <bottom/>
      <diagonal/>
    </border>
    <border>
      <left style="thin">
        <color theme="0"/>
      </left>
      <right style="dashed">
        <color theme="4"/>
      </right>
      <top/>
      <bottom style="thin">
        <color theme="4"/>
      </bottom>
      <diagonal/>
    </border>
    <border>
      <left style="thin">
        <color theme="4"/>
      </left>
      <right style="thin">
        <color theme="4"/>
      </right>
      <top style="thin">
        <color indexed="64"/>
      </top>
      <bottom/>
      <diagonal/>
    </border>
    <border>
      <left style="thin">
        <color theme="4"/>
      </left>
      <right style="thin">
        <color theme="0"/>
      </right>
      <top/>
      <bottom style="thin">
        <color indexed="64"/>
      </bottom>
      <diagonal/>
    </border>
    <border>
      <left/>
      <right style="dashed">
        <color theme="4"/>
      </right>
      <top/>
      <bottom style="thin">
        <color indexed="64"/>
      </bottom>
      <diagonal/>
    </border>
    <border>
      <left style="dashed">
        <color theme="4"/>
      </left>
      <right style="dashed">
        <color theme="4"/>
      </right>
      <top/>
      <bottom style="thin">
        <color indexed="64"/>
      </bottom>
      <diagonal/>
    </border>
    <border>
      <left style="thin">
        <color theme="4"/>
      </left>
      <right style="dashed">
        <color theme="4"/>
      </right>
      <top style="thin">
        <color indexed="64"/>
      </top>
      <bottom/>
      <diagonal/>
    </border>
    <border>
      <left style="thin">
        <color theme="4"/>
      </left>
      <right style="dashed">
        <color theme="4"/>
      </right>
      <top style="thin">
        <color theme="4"/>
      </top>
      <bottom style="thin">
        <color indexed="64"/>
      </bottom>
      <diagonal/>
    </border>
    <border>
      <left style="dashed">
        <color theme="4"/>
      </left>
      <right style="dashed">
        <color theme="4"/>
      </right>
      <top style="thin">
        <color theme="4"/>
      </top>
      <bottom style="thin">
        <color indexed="64"/>
      </bottom>
      <diagonal/>
    </border>
    <border>
      <left style="hair">
        <color indexed="64"/>
      </left>
      <right/>
      <top/>
      <bottom/>
      <diagonal/>
    </border>
    <border>
      <left style="dashed">
        <color theme="4"/>
      </left>
      <right style="thin">
        <color theme="4"/>
      </right>
      <top/>
      <bottom style="thin">
        <color theme="4"/>
      </bottom>
      <diagonal/>
    </border>
    <border>
      <left style="dashed">
        <color theme="4"/>
      </left>
      <right style="hair">
        <color indexed="64"/>
      </right>
      <top style="thin">
        <color theme="4"/>
      </top>
      <bottom style="thin">
        <color indexed="64"/>
      </bottom>
      <diagonal/>
    </border>
    <border>
      <left style="dashed">
        <color theme="4"/>
      </left>
      <right style="hair">
        <color indexed="64"/>
      </right>
      <top style="thin">
        <color theme="4"/>
      </top>
      <bottom/>
      <diagonal/>
    </border>
    <border>
      <left style="dashed">
        <color theme="4"/>
      </left>
      <right style="hair">
        <color indexed="64"/>
      </right>
      <top/>
      <bottom/>
      <diagonal/>
    </border>
    <border>
      <left style="dashed">
        <color theme="4"/>
      </left>
      <right/>
      <top style="thin">
        <color theme="4"/>
      </top>
      <bottom style="thin">
        <color indexed="64"/>
      </bottom>
      <diagonal/>
    </border>
    <border>
      <left style="dashed">
        <color theme="4"/>
      </left>
      <right/>
      <top/>
      <bottom/>
      <diagonal/>
    </border>
    <border>
      <left style="dashed">
        <color theme="4"/>
      </left>
      <right/>
      <top style="thin">
        <color theme="4"/>
      </top>
      <bottom/>
      <diagonal/>
    </border>
    <border>
      <left style="thin">
        <color theme="0"/>
      </left>
      <right/>
      <top/>
      <bottom/>
      <diagonal/>
    </border>
    <border>
      <left/>
      <right style="dashed">
        <color theme="4"/>
      </right>
      <top style="thin">
        <color theme="4"/>
      </top>
      <bottom style="thin">
        <color indexed="64"/>
      </bottom>
      <diagonal/>
    </border>
    <border>
      <left/>
      <right style="hair">
        <color indexed="64"/>
      </right>
      <top style="thin">
        <color theme="4"/>
      </top>
      <bottom/>
      <diagonal/>
    </border>
  </borders>
  <cellStyleXfs count="483">
    <xf numFmtId="3" fontId="0" fillId="0" borderId="0"/>
    <xf numFmtId="166" fontId="27" fillId="0" borderId="0" applyFont="0" applyFill="0" applyBorder="0" applyAlignment="0" applyProtection="0"/>
    <xf numFmtId="40" fontId="27" fillId="0" borderId="0" applyFont="0" applyFill="0" applyBorder="0" applyAlignment="0" applyProtection="0"/>
    <xf numFmtId="165" fontId="27" fillId="0" borderId="0" applyFont="0" applyFill="0" applyBorder="0" applyAlignment="0" applyProtection="0"/>
    <xf numFmtId="0" fontId="32" fillId="0" borderId="0"/>
    <xf numFmtId="9" fontId="27" fillId="0" borderId="0" applyFont="0" applyFill="0" applyBorder="0" applyAlignment="0" applyProtection="0"/>
    <xf numFmtId="9" fontId="39" fillId="0" borderId="0" applyFont="0" applyFill="0" applyBorder="0" applyAlignment="0" applyProtection="0"/>
    <xf numFmtId="0" fontId="40" fillId="0" borderId="0"/>
    <xf numFmtId="3" fontId="26" fillId="0" borderId="0"/>
    <xf numFmtId="0" fontId="27" fillId="0" borderId="0"/>
    <xf numFmtId="0" fontId="28" fillId="0" borderId="0"/>
    <xf numFmtId="0" fontId="39" fillId="0" borderId="0"/>
    <xf numFmtId="3" fontId="27" fillId="0" borderId="0"/>
    <xf numFmtId="3" fontId="27" fillId="0" borderId="0"/>
    <xf numFmtId="0" fontId="25" fillId="0" borderId="0"/>
    <xf numFmtId="168" fontId="37" fillId="0" borderId="0"/>
    <xf numFmtId="169" fontId="27" fillId="0" borderId="0" applyFont="0" applyFill="0" applyBorder="0" applyAlignment="0" applyProtection="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2" fontId="27" fillId="0" borderId="0" applyFont="0" applyFill="0" applyBorder="0" applyAlignment="0" applyProtection="0"/>
    <xf numFmtId="173" fontId="27" fillId="0" borderId="0" applyFont="0" applyFill="0" applyBorder="0" applyAlignment="0" applyProtection="0"/>
    <xf numFmtId="173" fontId="27" fillId="0" borderId="0" applyFont="0" applyFill="0" applyBorder="0" applyAlignment="0" applyProtection="0"/>
    <xf numFmtId="174" fontId="37" fillId="0" borderId="0" applyFont="0" applyFill="0" applyBorder="0" applyAlignment="0" applyProtection="0"/>
    <xf numFmtId="174" fontId="37" fillId="0" borderId="0" applyFont="0" applyFill="0" applyBorder="0" applyAlignment="0" applyProtection="0"/>
    <xf numFmtId="174" fontId="37" fillId="0" borderId="0" applyFont="0" applyFill="0" applyBorder="0" applyAlignment="0" applyProtection="0"/>
    <xf numFmtId="172" fontId="27" fillId="0" borderId="0" applyFont="0" applyFill="0" applyBorder="0" applyAlignment="0" applyProtection="0"/>
    <xf numFmtId="175" fontId="37" fillId="0" borderId="0" applyFont="0" applyFill="0" applyBorder="0" applyAlignment="0" applyProtection="0"/>
    <xf numFmtId="175" fontId="37" fillId="0" borderId="0" applyFont="0" applyFill="0" applyBorder="0" applyAlignment="0" applyProtection="0"/>
    <xf numFmtId="175" fontId="37" fillId="0" borderId="0" applyFont="0" applyFill="0" applyBorder="0" applyAlignment="0" applyProtection="0"/>
    <xf numFmtId="169" fontId="27" fillId="0" borderId="0" applyFont="0" applyFill="0" applyBorder="0" applyAlignment="0" applyProtection="0"/>
    <xf numFmtId="176" fontId="37" fillId="0" borderId="0" applyFont="0" applyFill="0" applyBorder="0" applyAlignment="0" applyProtection="0"/>
    <xf numFmtId="176" fontId="37" fillId="0" borderId="0" applyFont="0" applyFill="0" applyBorder="0" applyAlignment="0" applyProtection="0"/>
    <xf numFmtId="176" fontId="37" fillId="0" borderId="0" applyFont="0" applyFill="0" applyBorder="0" applyAlignment="0" applyProtection="0"/>
    <xf numFmtId="177" fontId="27" fillId="0" borderId="0" applyFont="0" applyFill="0" applyBorder="0" applyAlignment="0" applyProtection="0"/>
    <xf numFmtId="178" fontId="27" fillId="0" borderId="0" applyFont="0" applyFill="0" applyBorder="0" applyAlignment="0" applyProtection="0"/>
    <xf numFmtId="179" fontId="27" fillId="0" borderId="0" applyFont="0" applyFill="0" applyBorder="0" applyAlignment="0" applyProtection="0"/>
    <xf numFmtId="180" fontId="27" fillId="0" borderId="0" applyFont="0" applyFill="0" applyBorder="0" applyAlignment="0" applyProtection="0"/>
    <xf numFmtId="179" fontId="27" fillId="0" borderId="0" applyFont="0" applyFill="0" applyBorder="0" applyAlignment="0" applyProtection="0"/>
    <xf numFmtId="181" fontId="37" fillId="0" borderId="0" applyFont="0" applyFill="0" applyBorder="0" applyAlignment="0" applyProtection="0"/>
    <xf numFmtId="181" fontId="37" fillId="0" borderId="0" applyFont="0" applyFill="0" applyBorder="0" applyAlignment="0" applyProtection="0"/>
    <xf numFmtId="181" fontId="37" fillId="0" borderId="0" applyFont="0" applyFill="0" applyBorder="0" applyAlignment="0" applyProtection="0"/>
    <xf numFmtId="182" fontId="27" fillId="0" borderId="0" applyFont="0" applyFill="0" applyBorder="0" applyAlignment="0" applyProtection="0"/>
    <xf numFmtId="182" fontId="27" fillId="0" borderId="0" applyFont="0" applyFill="0" applyBorder="0" applyAlignment="0" applyProtection="0"/>
    <xf numFmtId="183" fontId="27" fillId="0" borderId="0" applyFont="0" applyFill="0" applyBorder="0" applyAlignment="0" applyProtection="0"/>
    <xf numFmtId="184" fontId="27" fillId="0" borderId="0" applyFont="0" applyFill="0" applyBorder="0" applyAlignment="0" applyProtection="0"/>
    <xf numFmtId="0" fontId="27" fillId="3" borderId="0"/>
    <xf numFmtId="0" fontId="27" fillId="3" borderId="0"/>
    <xf numFmtId="0" fontId="27" fillId="5" borderId="0"/>
    <xf numFmtId="0" fontId="27" fillId="5" borderId="0"/>
    <xf numFmtId="0" fontId="27" fillId="5" borderId="0"/>
    <xf numFmtId="0" fontId="29" fillId="3" borderId="0"/>
    <xf numFmtId="0" fontId="29" fillId="3" borderId="0"/>
    <xf numFmtId="0" fontId="42" fillId="5" borderId="0"/>
    <xf numFmtId="0" fontId="42" fillId="5" borderId="0"/>
    <xf numFmtId="0" fontId="42" fillId="5" borderId="0"/>
    <xf numFmtId="0" fontId="33" fillId="3" borderId="0"/>
    <xf numFmtId="0" fontId="33" fillId="3" borderId="0"/>
    <xf numFmtId="0" fontId="43" fillId="5" borderId="0"/>
    <xf numFmtId="0" fontId="43" fillId="5" borderId="0"/>
    <xf numFmtId="0" fontId="43" fillId="5" borderId="0"/>
    <xf numFmtId="0" fontId="44" fillId="3" borderId="0"/>
    <xf numFmtId="0" fontId="44" fillId="3" borderId="0"/>
    <xf numFmtId="0" fontId="38"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38"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38"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4" fillId="5" borderId="0"/>
    <xf numFmtId="0" fontId="45" fillId="3" borderId="0"/>
    <xf numFmtId="0" fontId="45" fillId="3" borderId="0"/>
    <xf numFmtId="0" fontId="45" fillId="5" borderId="0"/>
    <xf numFmtId="0" fontId="45" fillId="5" borderId="0"/>
    <xf numFmtId="0" fontId="45" fillId="5" borderId="0"/>
    <xf numFmtId="0" fontId="46" fillId="3" borderId="0"/>
    <xf numFmtId="0" fontId="46" fillId="3" borderId="0"/>
    <xf numFmtId="0" fontId="46" fillId="5" borderId="0"/>
    <xf numFmtId="0" fontId="46" fillId="5" borderId="0"/>
    <xf numFmtId="0" fontId="46" fillId="5" borderId="0"/>
    <xf numFmtId="0" fontId="31" fillId="3" borderId="0"/>
    <xf numFmtId="0" fontId="31" fillId="3" borderId="0"/>
    <xf numFmtId="0" fontId="31" fillId="5" borderId="0"/>
    <xf numFmtId="0" fontId="31" fillId="5" borderId="0"/>
    <xf numFmtId="0" fontId="31" fillId="5" borderId="0"/>
    <xf numFmtId="185" fontId="27" fillId="4" borderId="4"/>
    <xf numFmtId="185" fontId="27" fillId="4" borderId="4"/>
    <xf numFmtId="185" fontId="27" fillId="6" borderId="4"/>
    <xf numFmtId="185" fontId="27" fillId="6" borderId="4"/>
    <xf numFmtId="185" fontId="27" fillId="6" borderId="4"/>
    <xf numFmtId="0" fontId="33" fillId="4" borderId="0"/>
    <xf numFmtId="0" fontId="33" fillId="4" borderId="0"/>
    <xf numFmtId="0" fontId="43" fillId="6" borderId="0"/>
    <xf numFmtId="0" fontId="43" fillId="6" borderId="0"/>
    <xf numFmtId="0" fontId="43" fillId="6" borderId="0"/>
    <xf numFmtId="0" fontId="27" fillId="3" borderId="0"/>
    <xf numFmtId="0" fontId="27" fillId="3" borderId="0"/>
    <xf numFmtId="0" fontId="27" fillId="5" borderId="0"/>
    <xf numFmtId="0" fontId="27" fillId="5" borderId="0"/>
    <xf numFmtId="0" fontId="27" fillId="5" borderId="0"/>
    <xf numFmtId="0" fontId="29" fillId="3" borderId="0"/>
    <xf numFmtId="0" fontId="29" fillId="3" borderId="0"/>
    <xf numFmtId="0" fontId="42" fillId="5" borderId="0"/>
    <xf numFmtId="0" fontId="42" fillId="5" borderId="0"/>
    <xf numFmtId="0" fontId="42" fillId="5" borderId="0"/>
    <xf numFmtId="0" fontId="33" fillId="3" borderId="0"/>
    <xf numFmtId="0" fontId="33" fillId="3" borderId="0"/>
    <xf numFmtId="0" fontId="43" fillId="5" borderId="0"/>
    <xf numFmtId="0" fontId="43" fillId="5" borderId="0"/>
    <xf numFmtId="0" fontId="43" fillId="5" borderId="0"/>
    <xf numFmtId="0" fontId="27" fillId="3" borderId="0"/>
    <xf numFmtId="0" fontId="27" fillId="3" borderId="0"/>
    <xf numFmtId="0" fontId="27" fillId="5" borderId="0"/>
    <xf numFmtId="0" fontId="27" fillId="5" borderId="0"/>
    <xf numFmtId="0" fontId="27" fillId="5" borderId="0"/>
    <xf numFmtId="0" fontId="45" fillId="3" borderId="0"/>
    <xf numFmtId="0" fontId="45" fillId="3"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5" fillId="5" borderId="0"/>
    <xf numFmtId="0" fontId="46" fillId="3" borderId="0"/>
    <xf numFmtId="0" fontId="46" fillId="3"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46" fillId="5" borderId="0"/>
    <xf numFmtId="0" fontId="31" fillId="3" borderId="0"/>
    <xf numFmtId="0" fontId="31" fillId="3" borderId="0"/>
    <xf numFmtId="0" fontId="31" fillId="5" borderId="0"/>
    <xf numFmtId="0" fontId="31" fillId="5" borderId="0"/>
    <xf numFmtId="0" fontId="31" fillId="5" borderId="0"/>
    <xf numFmtId="186" fontId="37" fillId="0" borderId="0" applyFont="0" applyFill="0" applyBorder="0" applyAlignment="0" applyProtection="0"/>
    <xf numFmtId="187" fontId="27" fillId="0" borderId="0" applyFont="0" applyFill="0" applyBorder="0" applyAlignment="0" applyProtection="0"/>
    <xf numFmtId="188" fontId="27" fillId="0" borderId="0" applyFont="0" applyFill="0" applyBorder="0" applyAlignment="0" applyProtection="0"/>
    <xf numFmtId="189" fontId="27" fillId="0" borderId="0" applyFont="0" applyFill="0" applyBorder="0" applyAlignment="0" applyProtection="0">
      <alignment horizontal="right"/>
    </xf>
    <xf numFmtId="190" fontId="27" fillId="0" borderId="0" applyFont="0" applyFill="0" applyBorder="0" applyAlignment="0" applyProtection="0"/>
    <xf numFmtId="191" fontId="37" fillId="2" borderId="0" applyFont="0" applyFill="0" applyBorder="0" applyAlignment="0" applyProtection="0"/>
    <xf numFmtId="14" fontId="27" fillId="0" borderId="0" applyFont="0" applyFill="0" applyBorder="0" applyAlignment="0" applyProtection="0"/>
    <xf numFmtId="186" fontId="37" fillId="7" borderId="0" applyFont="0" applyFill="0" applyBorder="0" applyAlignment="0" applyProtection="0">
      <alignment horizontal="center"/>
    </xf>
    <xf numFmtId="3" fontId="31" fillId="2" borderId="0">
      <alignment vertical="center"/>
    </xf>
    <xf numFmtId="177" fontId="27" fillId="0" borderId="2" applyNumberFormat="0" applyFont="0" applyFill="0" applyProtection="0">
      <alignment vertical="center"/>
    </xf>
    <xf numFmtId="0" fontId="47" fillId="0" borderId="0"/>
    <xf numFmtId="9" fontId="48" fillId="0" borderId="0" applyFont="0" applyFill="0" applyBorder="0" applyAlignment="0" applyProtection="0"/>
    <xf numFmtId="0" fontId="24" fillId="0" borderId="0"/>
    <xf numFmtId="9" fontId="24" fillId="0" borderId="0" applyFont="0" applyFill="0" applyBorder="0" applyAlignment="0" applyProtection="0"/>
    <xf numFmtId="0" fontId="23" fillId="0" borderId="0"/>
    <xf numFmtId="9" fontId="23" fillId="0" borderId="0" applyFont="0" applyFill="0" applyBorder="0" applyAlignment="0" applyProtection="0"/>
    <xf numFmtId="0" fontId="27" fillId="0" borderId="0" applyNumberFormat="0" applyBorder="0"/>
    <xf numFmtId="0" fontId="27" fillId="0" borderId="0" applyFont="0" applyFill="0" applyBorder="0" applyAlignment="0" applyProtection="0"/>
    <xf numFmtId="0" fontId="30" fillId="0" borderId="0"/>
    <xf numFmtId="0" fontId="27" fillId="0" borderId="0"/>
    <xf numFmtId="0" fontId="66" fillId="9" borderId="7" applyNumberFormat="0" applyAlignment="0" applyProtection="0"/>
    <xf numFmtId="197" fontId="61" fillId="0" borderId="8">
      <alignment horizontal="center"/>
    </xf>
    <xf numFmtId="195" fontId="27" fillId="0" borderId="0" applyFont="0" applyFill="0" applyBorder="0" applyAlignment="0" applyProtection="0"/>
    <xf numFmtId="196" fontId="27" fillId="0" borderId="0" applyFont="0" applyFill="0" applyBorder="0" applyAlignment="0" applyProtection="0"/>
    <xf numFmtId="201" fontId="62" fillId="0" borderId="0" applyFont="0" applyFill="0" applyBorder="0" applyAlignment="0"/>
    <xf numFmtId="0" fontId="60" fillId="10" borderId="8" applyNumberFormat="0"/>
    <xf numFmtId="0" fontId="36" fillId="11" borderId="9" applyNumberFormat="0" applyAlignment="0">
      <alignment horizontal="center"/>
    </xf>
    <xf numFmtId="0" fontId="57" fillId="12" borderId="8" applyNumberFormat="0" applyAlignment="0">
      <alignment horizontal="center"/>
    </xf>
    <xf numFmtId="198" fontId="56" fillId="13" borderId="10"/>
    <xf numFmtId="0" fontId="60" fillId="0" borderId="11" applyNumberFormat="0" applyAlignment="0"/>
    <xf numFmtId="0" fontId="69" fillId="0" borderId="3">
      <alignment horizontal="left"/>
    </xf>
    <xf numFmtId="0" fontId="72" fillId="0" borderId="0"/>
    <xf numFmtId="0" fontId="30" fillId="0" borderId="0" applyNumberFormat="0" applyFill="0"/>
    <xf numFmtId="0" fontId="59" fillId="0" borderId="0"/>
    <xf numFmtId="0" fontId="63" fillId="0" borderId="0" applyNumberFormat="0" applyFill="0" applyBorder="0" applyAlignment="0"/>
    <xf numFmtId="0" fontId="60" fillId="0" borderId="0"/>
    <xf numFmtId="0" fontId="67" fillId="0" borderId="0" applyNumberFormat="0" applyBorder="0"/>
    <xf numFmtId="0" fontId="60" fillId="0" borderId="8" applyNumberFormat="0"/>
    <xf numFmtId="200" fontId="54" fillId="15" borderId="9" applyAlignment="0"/>
    <xf numFmtId="0" fontId="60" fillId="0" borderId="12" applyNumberFormat="0" applyFill="0" applyAlignment="0"/>
    <xf numFmtId="200" fontId="55" fillId="16" borderId="13"/>
    <xf numFmtId="0" fontId="65" fillId="17" borderId="8">
      <alignment horizontal="left"/>
    </xf>
    <xf numFmtId="0" fontId="27" fillId="0" borderId="0"/>
    <xf numFmtId="0" fontId="55" fillId="3" borderId="13" applyNumberFormat="0"/>
    <xf numFmtId="202" fontId="60" fillId="0" borderId="0" applyFill="0" applyBorder="0" applyAlignment="0" applyProtection="0"/>
    <xf numFmtId="0" fontId="58" fillId="2" borderId="14" applyNumberFormat="0">
      <alignment horizontal="center"/>
    </xf>
    <xf numFmtId="199" fontId="27" fillId="0" borderId="0" applyFont="0" applyFill="0" applyBorder="0" applyAlignment="0" applyProtection="0"/>
    <xf numFmtId="0" fontId="64" fillId="0" borderId="15">
      <alignment horizontal="left"/>
    </xf>
    <xf numFmtId="0" fontId="70" fillId="2" borderId="0">
      <alignment horizontal="left"/>
    </xf>
    <xf numFmtId="0" fontId="71" fillId="18" borderId="6" applyNumberFormat="0">
      <alignment horizontal="center" vertical="center" wrapText="1"/>
    </xf>
    <xf numFmtId="0" fontId="53" fillId="14" borderId="8" applyNumberFormat="0">
      <alignment horizontal="right"/>
    </xf>
    <xf numFmtId="0" fontId="73" fillId="0" borderId="0" applyNumberFormat="0" applyProtection="0"/>
    <xf numFmtId="0" fontId="41" fillId="19" borderId="16">
      <alignment horizontal="center"/>
    </xf>
    <xf numFmtId="196" fontId="27" fillId="0" borderId="0" applyFont="0" applyFill="0" applyBorder="0"/>
    <xf numFmtId="0" fontId="68" fillId="20" borderId="17"/>
    <xf numFmtId="200" fontId="54" fillId="15" borderId="9"/>
    <xf numFmtId="165" fontId="27" fillId="0" borderId="0" applyFont="0" applyFill="0" applyBorder="0" applyAlignment="0" applyProtection="0"/>
    <xf numFmtId="203" fontId="68" fillId="20" borderId="17">
      <alignment horizontal="center"/>
      <protection locked="0"/>
    </xf>
    <xf numFmtId="204" fontId="74" fillId="21" borderId="18">
      <alignment horizontal="center"/>
    </xf>
    <xf numFmtId="0" fontId="22" fillId="0" borderId="0"/>
    <xf numFmtId="9" fontId="22" fillId="0" borderId="0" applyFont="0" applyFill="0" applyBorder="0" applyAlignment="0" applyProtection="0"/>
    <xf numFmtId="3" fontId="26" fillId="0" borderId="0"/>
    <xf numFmtId="9" fontId="26" fillId="0" borderId="0" applyFont="0" applyFill="0" applyBorder="0" applyAlignment="0" applyProtection="0"/>
    <xf numFmtId="9" fontId="21" fillId="0" borderId="0" applyFont="0" applyFill="0" applyBorder="0" applyAlignment="0" applyProtection="0"/>
    <xf numFmtId="0" fontId="20" fillId="0" borderId="0"/>
    <xf numFmtId="44" fontId="20" fillId="0" borderId="0" applyFont="0" applyFill="0" applyBorder="0" applyAlignment="0" applyProtection="0"/>
    <xf numFmtId="3" fontId="81" fillId="0" borderId="0"/>
    <xf numFmtId="9" fontId="27" fillId="0" borderId="0" applyFont="0" applyFill="0" applyBorder="0" applyAlignment="0" applyProtection="0"/>
    <xf numFmtId="0" fontId="20" fillId="0" borderId="0"/>
    <xf numFmtId="0" fontId="27" fillId="0" borderId="0"/>
    <xf numFmtId="0" fontId="20" fillId="0" borderId="0"/>
    <xf numFmtId="0" fontId="29" fillId="5" borderId="0"/>
    <xf numFmtId="0" fontId="29" fillId="5" borderId="0"/>
    <xf numFmtId="0" fontId="29" fillId="5" borderId="0"/>
    <xf numFmtId="0" fontId="33" fillId="5" borderId="0"/>
    <xf numFmtId="0" fontId="33" fillId="5" borderId="0"/>
    <xf numFmtId="0" fontId="33" fillId="5" borderId="0"/>
    <xf numFmtId="0" fontId="38" fillId="3" borderId="0"/>
    <xf numFmtId="0" fontId="38" fillId="3"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8" fillId="5" borderId="0"/>
    <xf numFmtId="0" fontId="33" fillId="6" borderId="0"/>
    <xf numFmtId="0" fontId="33" fillId="6" borderId="0"/>
    <xf numFmtId="0" fontId="33" fillId="6" borderId="0"/>
    <xf numFmtId="0" fontId="29" fillId="5" borderId="0"/>
    <xf numFmtId="0" fontId="29" fillId="5" borderId="0"/>
    <xf numFmtId="0" fontId="29" fillId="5" borderId="0"/>
    <xf numFmtId="0" fontId="33" fillId="5" borderId="0"/>
    <xf numFmtId="0" fontId="33" fillId="5" borderId="0"/>
    <xf numFmtId="0" fontId="33" fillId="5" borderId="0"/>
    <xf numFmtId="0" fontId="27" fillId="0" borderId="0"/>
    <xf numFmtId="9" fontId="26"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44" fontId="26" fillId="0" borderId="0" applyFont="0" applyFill="0" applyBorder="0" applyAlignment="0" applyProtection="0"/>
    <xf numFmtId="0" fontId="19" fillId="0" borderId="0"/>
    <xf numFmtId="44" fontId="19"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44" fontId="18" fillId="0" borderId="0" applyFont="0" applyFill="0" applyBorder="0" applyAlignment="0" applyProtection="0"/>
    <xf numFmtId="3" fontId="26"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44" fontId="18" fillId="0" borderId="0" applyFont="0" applyFill="0" applyBorder="0" applyAlignment="0" applyProtection="0"/>
    <xf numFmtId="164" fontId="26"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44" fontId="17" fillId="0" borderId="0" applyFont="0" applyFill="0" applyBorder="0" applyAlignment="0" applyProtection="0"/>
    <xf numFmtId="0" fontId="15" fillId="0" borderId="0"/>
    <xf numFmtId="44" fontId="15" fillId="0" borderId="0" applyFont="0" applyFill="0" applyBorder="0" applyAlignment="0" applyProtection="0"/>
    <xf numFmtId="0" fontId="14" fillId="0" borderId="0"/>
    <xf numFmtId="0" fontId="85" fillId="0" borderId="0" applyNumberFormat="0" applyFill="0" applyBorder="0" applyAlignment="0" applyProtection="0"/>
    <xf numFmtId="0" fontId="13" fillId="0" borderId="0"/>
    <xf numFmtId="44" fontId="13" fillId="0" borderId="0" applyFont="0" applyFill="0" applyBorder="0" applyAlignment="0" applyProtection="0"/>
    <xf numFmtId="43" fontId="98" fillId="0" borderId="0" applyFont="0" applyFill="0" applyBorder="0" applyAlignment="0" applyProtection="0"/>
    <xf numFmtId="3" fontId="113" fillId="0" borderId="0" applyNumberFormat="0" applyFill="0" applyBorder="0" applyAlignment="0" applyProtection="0"/>
    <xf numFmtId="0" fontId="2" fillId="0" borderId="0"/>
    <xf numFmtId="43" fontId="26" fillId="0" borderId="0" applyFont="0" applyFill="0" applyBorder="0" applyAlignment="0" applyProtection="0"/>
    <xf numFmtId="0" fontId="1" fillId="0" borderId="0"/>
  </cellStyleXfs>
  <cellXfs count="410">
    <xf numFmtId="3" fontId="0" fillId="0" borderId="0" xfId="0"/>
    <xf numFmtId="3" fontId="35" fillId="2" borderId="0" xfId="0" applyFont="1" applyFill="1"/>
    <xf numFmtId="3" fontId="27" fillId="0" borderId="0" xfId="0" applyFont="1" applyAlignment="1">
      <alignment vertical="center"/>
    </xf>
    <xf numFmtId="3" fontId="29" fillId="0" borderId="0" xfId="0" applyFont="1" applyAlignment="1">
      <alignment vertical="center"/>
    </xf>
    <xf numFmtId="3" fontId="35" fillId="2" borderId="0" xfId="0" applyFont="1" applyFill="1" applyAlignment="1">
      <alignment horizontal="center"/>
    </xf>
    <xf numFmtId="3" fontId="35" fillId="0" borderId="0" xfId="0" applyFont="1" applyAlignment="1">
      <alignment vertical="center"/>
    </xf>
    <xf numFmtId="3" fontId="27" fillId="0" borderId="0" xfId="0" applyFont="1" applyAlignment="1">
      <alignment horizontal="right" vertical="center"/>
    </xf>
    <xf numFmtId="3" fontId="0" fillId="0" borderId="0" xfId="0" applyAlignment="1">
      <alignment vertical="center"/>
    </xf>
    <xf numFmtId="3" fontId="0" fillId="8" borderId="0" xfId="0" applyFill="1" applyAlignment="1">
      <alignment vertical="center"/>
    </xf>
    <xf numFmtId="3" fontId="27" fillId="0" borderId="0" xfId="8" applyFont="1" applyAlignment="1">
      <alignment vertical="center"/>
    </xf>
    <xf numFmtId="3" fontId="27" fillId="8" borderId="0" xfId="8" applyFont="1" applyFill="1" applyAlignment="1">
      <alignment vertical="center"/>
    </xf>
    <xf numFmtId="3" fontId="27" fillId="0" borderId="0" xfId="8" quotePrefix="1" applyFont="1" applyAlignment="1">
      <alignment vertical="center"/>
    </xf>
    <xf numFmtId="10" fontId="29" fillId="0" borderId="0" xfId="0" applyNumberFormat="1" applyFont="1" applyAlignment="1">
      <alignment vertical="center"/>
    </xf>
    <xf numFmtId="167" fontId="27" fillId="0" borderId="0" xfId="12" applyNumberFormat="1" applyAlignment="1">
      <alignment vertical="center"/>
    </xf>
    <xf numFmtId="3" fontId="27" fillId="8" borderId="25" xfId="8" applyFont="1" applyFill="1" applyBorder="1" applyAlignment="1">
      <alignment vertical="center"/>
    </xf>
    <xf numFmtId="3" fontId="27" fillId="0" borderId="25" xfId="8" applyFont="1" applyBorder="1" applyAlignment="1">
      <alignment vertical="center"/>
    </xf>
    <xf numFmtId="3" fontId="27" fillId="0" borderId="0" xfId="0" applyFont="1" applyAlignment="1">
      <alignment horizontal="center" vertical="center"/>
    </xf>
    <xf numFmtId="3" fontId="26" fillId="0" borderId="0" xfId="0" applyFont="1" applyAlignment="1">
      <alignment vertical="center"/>
    </xf>
    <xf numFmtId="3" fontId="26" fillId="0" borderId="0" xfId="0" applyFont="1"/>
    <xf numFmtId="3" fontId="27" fillId="0" borderId="0" xfId="0" applyFont="1"/>
    <xf numFmtId="3" fontId="80" fillId="0" borderId="25" xfId="0" applyFont="1" applyBorder="1" applyAlignment="1">
      <alignment vertical="center"/>
    </xf>
    <xf numFmtId="0" fontId="80" fillId="0" borderId="0" xfId="302" applyFont="1" applyAlignment="1">
      <alignment vertical="center"/>
    </xf>
    <xf numFmtId="0" fontId="76" fillId="0" borderId="0" xfId="302" applyFont="1" applyAlignment="1">
      <alignment vertical="center"/>
    </xf>
    <xf numFmtId="0" fontId="77" fillId="0" borderId="0" xfId="302" applyFont="1" applyAlignment="1">
      <alignment horizontal="left" vertical="center"/>
    </xf>
    <xf numFmtId="3" fontId="27" fillId="0" borderId="21" xfId="0" applyFont="1" applyBorder="1" applyAlignment="1">
      <alignment vertical="center"/>
    </xf>
    <xf numFmtId="3" fontId="27" fillId="0" borderId="23" xfId="0" applyFont="1" applyBorder="1" applyAlignment="1">
      <alignment vertical="center"/>
    </xf>
    <xf numFmtId="3" fontId="79" fillId="0" borderId="25" xfId="0" applyFont="1" applyBorder="1" applyAlignment="1">
      <alignment vertical="center"/>
    </xf>
    <xf numFmtId="10" fontId="26" fillId="0" borderId="0" xfId="0" applyNumberFormat="1" applyFont="1" applyAlignment="1">
      <alignment vertical="center"/>
    </xf>
    <xf numFmtId="3" fontId="27" fillId="0" borderId="20" xfId="8" applyFont="1" applyBorder="1" applyAlignment="1">
      <alignment vertical="center"/>
    </xf>
    <xf numFmtId="3" fontId="27" fillId="0" borderId="20" xfId="8" applyFont="1" applyBorder="1" applyAlignment="1">
      <alignment horizontal="right" vertical="center"/>
    </xf>
    <xf numFmtId="3" fontId="78" fillId="0" borderId="20" xfId="8" applyFont="1" applyBorder="1" applyAlignment="1">
      <alignment horizontal="right" vertical="center"/>
    </xf>
    <xf numFmtId="3" fontId="78" fillId="0" borderId="0" xfId="8" applyFont="1" applyAlignment="1">
      <alignment vertical="center"/>
    </xf>
    <xf numFmtId="3" fontId="82" fillId="0" borderId="24" xfId="8" applyFont="1" applyBorder="1" applyAlignment="1">
      <alignment horizontal="right" vertical="center"/>
    </xf>
    <xf numFmtId="3" fontId="78" fillId="0" borderId="25" xfId="8" applyFont="1" applyBorder="1" applyAlignment="1">
      <alignment vertical="center"/>
    </xf>
    <xf numFmtId="167" fontId="79" fillId="0" borderId="25" xfId="12" applyNumberFormat="1" applyFont="1" applyBorder="1" applyAlignment="1">
      <alignment vertical="center"/>
    </xf>
    <xf numFmtId="167" fontId="78" fillId="0" borderId="25" xfId="12" applyNumberFormat="1" applyFont="1" applyBorder="1" applyAlignment="1">
      <alignment vertical="center"/>
    </xf>
    <xf numFmtId="3" fontId="27" fillId="0" borderId="22" xfId="8" applyFont="1" applyBorder="1" applyAlignment="1">
      <alignment vertical="center"/>
    </xf>
    <xf numFmtId="3" fontId="27" fillId="0" borderId="23" xfId="8" applyFont="1" applyBorder="1" applyAlignment="1">
      <alignment vertical="center"/>
    </xf>
    <xf numFmtId="3" fontId="26" fillId="0" borderId="27" xfId="0" applyFont="1" applyBorder="1"/>
    <xf numFmtId="3" fontId="27" fillId="0" borderId="21" xfId="0" applyFont="1" applyBorder="1"/>
    <xf numFmtId="3" fontId="35" fillId="0" borderId="20" xfId="0" applyFont="1" applyBorder="1" applyAlignment="1">
      <alignment vertical="center"/>
    </xf>
    <xf numFmtId="3" fontId="35" fillId="0" borderId="24" xfId="0" applyFont="1" applyBorder="1" applyAlignment="1">
      <alignment vertical="center"/>
    </xf>
    <xf numFmtId="0" fontId="27" fillId="0" borderId="0" xfId="0" applyNumberFormat="1" applyFont="1" applyAlignment="1">
      <alignment horizontal="center" vertical="center"/>
    </xf>
    <xf numFmtId="3" fontId="35" fillId="0" borderId="23" xfId="0" applyFont="1" applyBorder="1"/>
    <xf numFmtId="3" fontId="0" fillId="0" borderId="28" xfId="0" applyBorder="1"/>
    <xf numFmtId="3" fontId="0" fillId="0" borderId="27" xfId="0" applyBorder="1"/>
    <xf numFmtId="3" fontId="35" fillId="0" borderId="20" xfId="0" applyFont="1" applyBorder="1"/>
    <xf numFmtId="3" fontId="27" fillId="0" borderId="0" xfId="0" applyFont="1" applyAlignment="1">
      <alignment horizontal="right"/>
    </xf>
    <xf numFmtId="3" fontId="35" fillId="0" borderId="22" xfId="0" applyFont="1" applyBorder="1"/>
    <xf numFmtId="3" fontId="35" fillId="0" borderId="23" xfId="0" applyFont="1" applyBorder="1" applyAlignment="1">
      <alignment horizontal="center"/>
    </xf>
    <xf numFmtId="9" fontId="35" fillId="0" borderId="5" xfId="302" applyNumberFormat="1" applyFont="1" applyBorder="1" applyAlignment="1" applyProtection="1">
      <alignment horizontal="center" vertical="center"/>
      <protection locked="0"/>
    </xf>
    <xf numFmtId="3" fontId="27" fillId="0" borderId="29" xfId="0" applyFont="1" applyBorder="1"/>
    <xf numFmtId="3" fontId="29" fillId="0" borderId="0" xfId="0" applyFont="1" applyAlignment="1">
      <alignment horizontal="center" vertical="center"/>
    </xf>
    <xf numFmtId="3" fontId="29" fillId="0" borderId="21" xfId="0" applyFont="1" applyBorder="1" applyAlignment="1">
      <alignment vertical="center"/>
    </xf>
    <xf numFmtId="3" fontId="27" fillId="0" borderId="30" xfId="0" applyFont="1" applyBorder="1"/>
    <xf numFmtId="3" fontId="29" fillId="0" borderId="30" xfId="0" applyFont="1" applyBorder="1"/>
    <xf numFmtId="10" fontId="29" fillId="0" borderId="21" xfId="0" applyNumberFormat="1" applyFont="1" applyBorder="1" applyAlignment="1">
      <alignment vertical="center"/>
    </xf>
    <xf numFmtId="3" fontId="27" fillId="0" borderId="30" xfId="0" applyFont="1" applyBorder="1" applyAlignment="1">
      <alignment vertical="center"/>
    </xf>
    <xf numFmtId="3" fontId="27" fillId="0" borderId="25" xfId="0" applyFont="1" applyBorder="1" applyAlignment="1">
      <alignment vertical="center"/>
    </xf>
    <xf numFmtId="3" fontId="27" fillId="0" borderId="25" xfId="0" applyFont="1" applyBorder="1" applyAlignment="1">
      <alignment horizontal="center" vertical="center"/>
    </xf>
    <xf numFmtId="3" fontId="27" fillId="0" borderId="26" xfId="0" applyFont="1" applyBorder="1" applyAlignment="1">
      <alignment vertical="center"/>
    </xf>
    <xf numFmtId="3" fontId="27" fillId="0" borderId="19" xfId="0" applyFont="1" applyBorder="1" applyAlignment="1">
      <alignment vertical="center"/>
    </xf>
    <xf numFmtId="3" fontId="34" fillId="0" borderId="24" xfId="0" applyFont="1" applyBorder="1" applyAlignment="1">
      <alignment vertical="center"/>
    </xf>
    <xf numFmtId="3" fontId="29" fillId="0" borderId="25" xfId="0" applyFont="1" applyBorder="1" applyAlignment="1">
      <alignment vertical="center"/>
    </xf>
    <xf numFmtId="3" fontId="29" fillId="0" borderId="25" xfId="0" applyFont="1" applyBorder="1" applyAlignment="1">
      <alignment horizontal="center" vertical="center"/>
    </xf>
    <xf numFmtId="3" fontId="29" fillId="0" borderId="26" xfId="0" applyFont="1" applyBorder="1" applyAlignment="1">
      <alignment vertical="center"/>
    </xf>
    <xf numFmtId="3" fontId="29" fillId="0" borderId="19" xfId="0" applyFont="1" applyBorder="1" applyAlignment="1">
      <alignment vertical="center"/>
    </xf>
    <xf numFmtId="1" fontId="75" fillId="22" borderId="19" xfId="12" applyNumberFormat="1" applyFont="1" applyFill="1" applyBorder="1" applyAlignment="1">
      <alignment horizontal="center" vertical="center"/>
    </xf>
    <xf numFmtId="1" fontId="75" fillId="22" borderId="26" xfId="12" applyNumberFormat="1" applyFont="1" applyFill="1" applyBorder="1" applyAlignment="1">
      <alignment horizontal="center" vertical="center"/>
    </xf>
    <xf numFmtId="3" fontId="34" fillId="0" borderId="20" xfId="0" applyFont="1" applyBorder="1" applyAlignment="1">
      <alignment vertical="center"/>
    </xf>
    <xf numFmtId="3" fontId="29" fillId="0" borderId="0" xfId="13" applyFont="1" applyAlignment="1">
      <alignment vertical="center"/>
    </xf>
    <xf numFmtId="3" fontId="29" fillId="0" borderId="0" xfId="13" applyFont="1" applyAlignment="1">
      <alignment horizontal="center" vertical="center"/>
    </xf>
    <xf numFmtId="3" fontId="75" fillId="22" borderId="31" xfId="0" applyFont="1" applyFill="1" applyBorder="1" applyAlignment="1">
      <alignment vertical="center"/>
    </xf>
    <xf numFmtId="3" fontId="75" fillId="22" borderId="1" xfId="0" applyFont="1" applyFill="1" applyBorder="1" applyAlignment="1">
      <alignment vertical="center"/>
    </xf>
    <xf numFmtId="3" fontId="75" fillId="22" borderId="1" xfId="0" applyFont="1" applyFill="1" applyBorder="1"/>
    <xf numFmtId="3" fontId="75" fillId="22" borderId="1" xfId="13" applyFont="1" applyFill="1" applyBorder="1" applyAlignment="1">
      <alignment vertical="center"/>
    </xf>
    <xf numFmtId="3" fontId="75" fillId="22" borderId="1" xfId="13" applyFont="1" applyFill="1" applyBorder="1" applyAlignment="1">
      <alignment horizontal="center" vertical="center"/>
    </xf>
    <xf numFmtId="3" fontId="75" fillId="22" borderId="32" xfId="0" applyFont="1" applyFill="1" applyBorder="1"/>
    <xf numFmtId="14" fontId="27" fillId="0" borderId="0" xfId="0" applyNumberFormat="1" applyFont="1" applyAlignment="1">
      <alignment horizontal="center" vertical="center"/>
    </xf>
    <xf numFmtId="194" fontId="27" fillId="0" borderId="19" xfId="8" applyNumberFormat="1" applyFont="1" applyBorder="1" applyAlignment="1">
      <alignment horizontal="right" vertical="center"/>
    </xf>
    <xf numFmtId="194" fontId="27" fillId="0" borderId="30" xfId="8" applyNumberFormat="1" applyFont="1" applyBorder="1" applyAlignment="1">
      <alignment vertical="center"/>
    </xf>
    <xf numFmtId="194" fontId="79" fillId="0" borderId="19" xfId="8" applyNumberFormat="1" applyFont="1" applyBorder="1" applyAlignment="1">
      <alignment vertical="center"/>
    </xf>
    <xf numFmtId="194" fontId="78" fillId="0" borderId="30" xfId="8" applyNumberFormat="1" applyFont="1" applyBorder="1" applyAlignment="1">
      <alignment vertical="center"/>
    </xf>
    <xf numFmtId="194" fontId="27" fillId="24" borderId="30" xfId="8" applyNumberFormat="1" applyFont="1" applyFill="1" applyBorder="1" applyAlignment="1">
      <alignment vertical="center"/>
    </xf>
    <xf numFmtId="0" fontId="16" fillId="0" borderId="0" xfId="302" applyFont="1" applyAlignment="1">
      <alignment horizontal="center"/>
    </xf>
    <xf numFmtId="3" fontId="29" fillId="25" borderId="0" xfId="0" applyFont="1" applyFill="1" applyAlignment="1">
      <alignment vertical="center"/>
    </xf>
    <xf numFmtId="49" fontId="80" fillId="0" borderId="0" xfId="302" applyNumberFormat="1" applyFont="1" applyAlignment="1">
      <alignment vertical="center"/>
    </xf>
    <xf numFmtId="3" fontId="50" fillId="25" borderId="34" xfId="8" applyFont="1" applyFill="1" applyBorder="1" applyAlignment="1">
      <alignment vertical="center"/>
    </xf>
    <xf numFmtId="3" fontId="51" fillId="25" borderId="33" xfId="8" applyFont="1" applyFill="1" applyBorder="1" applyAlignment="1">
      <alignment vertical="center"/>
    </xf>
    <xf numFmtId="3" fontId="51" fillId="25" borderId="35" xfId="8" applyFont="1" applyFill="1" applyBorder="1" applyAlignment="1">
      <alignment vertical="center"/>
    </xf>
    <xf numFmtId="193" fontId="50" fillId="25" borderId="21" xfId="0" applyNumberFormat="1" applyFont="1" applyFill="1" applyBorder="1" applyAlignment="1">
      <alignment horizontal="right" vertical="center"/>
    </xf>
    <xf numFmtId="193" fontId="50" fillId="25" borderId="30" xfId="12" applyNumberFormat="1" applyFont="1" applyFill="1" applyBorder="1" applyAlignment="1">
      <alignment horizontal="right" vertical="center"/>
    </xf>
    <xf numFmtId="3" fontId="27" fillId="25" borderId="0" xfId="8" applyFont="1" applyFill="1" applyAlignment="1">
      <alignment vertical="center"/>
    </xf>
    <xf numFmtId="3" fontId="0" fillId="25" borderId="0" xfId="0" applyFill="1" applyAlignment="1">
      <alignment vertical="center"/>
    </xf>
    <xf numFmtId="3" fontId="52" fillId="25" borderId="20" xfId="8" applyFont="1" applyFill="1" applyBorder="1" applyAlignment="1">
      <alignment vertical="center"/>
    </xf>
    <xf numFmtId="3" fontId="52" fillId="25" borderId="0" xfId="8" applyFont="1" applyFill="1" applyAlignment="1">
      <alignment vertical="center"/>
    </xf>
    <xf numFmtId="194" fontId="52" fillId="25" borderId="30" xfId="8" applyNumberFormat="1" applyFont="1" applyFill="1" applyBorder="1" applyAlignment="1">
      <alignment vertical="center"/>
    </xf>
    <xf numFmtId="3" fontId="29" fillId="25" borderId="0" xfId="8" applyFont="1" applyFill="1" applyAlignment="1">
      <alignment vertical="center"/>
    </xf>
    <xf numFmtId="3" fontId="52" fillId="25" borderId="24" xfId="8" applyFont="1" applyFill="1" applyBorder="1" applyAlignment="1">
      <alignment vertical="center"/>
    </xf>
    <xf numFmtId="3" fontId="52" fillId="25" borderId="26" xfId="8" applyFont="1" applyFill="1" applyBorder="1" applyAlignment="1">
      <alignment vertical="center"/>
    </xf>
    <xf numFmtId="3" fontId="52" fillId="25" borderId="19" xfId="8" applyFont="1" applyFill="1" applyBorder="1" applyAlignment="1">
      <alignment vertical="center"/>
    </xf>
    <xf numFmtId="3" fontId="52" fillId="25" borderId="25" xfId="8" applyFont="1" applyFill="1" applyBorder="1" applyAlignment="1">
      <alignment vertical="center"/>
    </xf>
    <xf numFmtId="194" fontId="52" fillId="25" borderId="19" xfId="8" applyNumberFormat="1" applyFont="1" applyFill="1" applyBorder="1" applyAlignment="1">
      <alignment vertical="center"/>
    </xf>
    <xf numFmtId="3" fontId="82" fillId="26" borderId="24" xfId="8" applyFont="1" applyFill="1" applyBorder="1" applyAlignment="1">
      <alignment horizontal="right" vertical="center"/>
    </xf>
    <xf numFmtId="3" fontId="79" fillId="26" borderId="25" xfId="8" applyFont="1" applyFill="1" applyBorder="1" applyAlignment="1">
      <alignment vertical="center"/>
    </xf>
    <xf numFmtId="3" fontId="78" fillId="26" borderId="25" xfId="8" applyFont="1" applyFill="1" applyBorder="1" applyAlignment="1">
      <alignment vertical="center"/>
    </xf>
    <xf numFmtId="194" fontId="79" fillId="26" borderId="19" xfId="8" applyNumberFormat="1" applyFont="1" applyFill="1" applyBorder="1" applyAlignment="1">
      <alignment vertical="center"/>
    </xf>
    <xf numFmtId="3" fontId="27" fillId="26" borderId="0" xfId="8" applyFont="1" applyFill="1" applyAlignment="1">
      <alignment vertical="center"/>
    </xf>
    <xf numFmtId="3" fontId="0" fillId="26" borderId="0" xfId="0" applyFill="1" applyAlignment="1">
      <alignment vertical="center"/>
    </xf>
    <xf numFmtId="0" fontId="49" fillId="27" borderId="36" xfId="474" applyFont="1" applyFill="1" applyBorder="1" applyAlignment="1">
      <alignment vertical="center" wrapText="1"/>
    </xf>
    <xf numFmtId="0" fontId="49" fillId="27" borderId="37" xfId="474" applyFont="1" applyFill="1" applyBorder="1" applyAlignment="1">
      <alignment vertical="center" wrapText="1"/>
    </xf>
    <xf numFmtId="0" fontId="14" fillId="28" borderId="38" xfId="474" applyFill="1" applyBorder="1"/>
    <xf numFmtId="205" fontId="14" fillId="28" borderId="39" xfId="474" applyNumberFormat="1" applyFill="1" applyBorder="1"/>
    <xf numFmtId="206" fontId="14" fillId="28" borderId="39" xfId="474" applyNumberFormat="1" applyFill="1" applyBorder="1"/>
    <xf numFmtId="192" fontId="14" fillId="28" borderId="39" xfId="474" applyNumberFormat="1" applyFill="1" applyBorder="1"/>
    <xf numFmtId="0" fontId="14" fillId="29" borderId="38" xfId="474" applyFill="1" applyBorder="1"/>
    <xf numFmtId="205" fontId="14" fillId="29" borderId="39" xfId="474" applyNumberFormat="1" applyFill="1" applyBorder="1"/>
    <xf numFmtId="206" fontId="14" fillId="29" borderId="39" xfId="474" applyNumberFormat="1" applyFill="1" applyBorder="1"/>
    <xf numFmtId="192" fontId="14" fillId="29" borderId="39" xfId="474" applyNumberFormat="1" applyFill="1" applyBorder="1"/>
    <xf numFmtId="14" fontId="76" fillId="0" borderId="0" xfId="302" applyNumberFormat="1" applyFont="1" applyAlignment="1">
      <alignment horizontal="left" vertical="center"/>
    </xf>
    <xf numFmtId="3" fontId="27" fillId="26" borderId="44" xfId="8" applyFont="1" applyFill="1" applyBorder="1" applyAlignment="1">
      <alignment horizontal="right" vertical="center"/>
    </xf>
    <xf numFmtId="167" fontId="27" fillId="26" borderId="41" xfId="12" applyNumberFormat="1" applyFill="1" applyBorder="1" applyAlignment="1">
      <alignment vertical="center"/>
    </xf>
    <xf numFmtId="3" fontId="27" fillId="26" borderId="41" xfId="8" applyFont="1" applyFill="1" applyBorder="1" applyAlignment="1">
      <alignment vertical="center"/>
    </xf>
    <xf numFmtId="194" fontId="27" fillId="26" borderId="45" xfId="8" applyNumberFormat="1" applyFont="1" applyFill="1" applyBorder="1" applyAlignment="1">
      <alignment vertical="center"/>
    </xf>
    <xf numFmtId="3" fontId="26" fillId="26" borderId="41" xfId="0" applyFont="1" applyFill="1" applyBorder="1" applyAlignment="1">
      <alignment vertical="center"/>
    </xf>
    <xf numFmtId="3" fontId="27" fillId="26" borderId="43" xfId="8" applyFont="1" applyFill="1" applyBorder="1" applyAlignment="1">
      <alignment horizontal="right" vertical="center"/>
    </xf>
    <xf numFmtId="3" fontId="27" fillId="26" borderId="42" xfId="8" applyFont="1" applyFill="1" applyBorder="1" applyAlignment="1">
      <alignment vertical="center"/>
    </xf>
    <xf numFmtId="194" fontId="27" fillId="26" borderId="46" xfId="8" applyNumberFormat="1" applyFont="1" applyFill="1" applyBorder="1" applyAlignment="1">
      <alignment vertical="center"/>
    </xf>
    <xf numFmtId="3" fontId="27" fillId="26" borderId="42" xfId="8" quotePrefix="1" applyFont="1" applyFill="1" applyBorder="1" applyAlignment="1">
      <alignment vertical="center"/>
    </xf>
    <xf numFmtId="3" fontId="0" fillId="26" borderId="42" xfId="0" applyFill="1" applyBorder="1" applyAlignment="1">
      <alignment vertical="center"/>
    </xf>
    <xf numFmtId="9" fontId="0" fillId="0" borderId="0" xfId="301" applyFont="1" applyAlignment="1">
      <alignment vertical="center"/>
    </xf>
    <xf numFmtId="9" fontId="78" fillId="23" borderId="40" xfId="301" applyFont="1" applyFill="1" applyBorder="1" applyAlignment="1">
      <alignment vertical="center"/>
    </xf>
    <xf numFmtId="0" fontId="86" fillId="0" borderId="0" xfId="302" applyFont="1"/>
    <xf numFmtId="3" fontId="84" fillId="0" borderId="0" xfId="0" applyFont="1"/>
    <xf numFmtId="0" fontId="88" fillId="0" borderId="0" xfId="302" applyFont="1"/>
    <xf numFmtId="3" fontId="90" fillId="0" borderId="0" xfId="0" applyFont="1"/>
    <xf numFmtId="3" fontId="84" fillId="0" borderId="0" xfId="0" applyFont="1" applyAlignment="1">
      <alignment horizontal="center"/>
    </xf>
    <xf numFmtId="3" fontId="92" fillId="0" borderId="0" xfId="0" applyFont="1" applyAlignment="1">
      <alignment vertical="center"/>
    </xf>
    <xf numFmtId="3" fontId="95" fillId="0" borderId="0" xfId="0" applyFont="1"/>
    <xf numFmtId="0" fontId="86" fillId="0" borderId="0" xfId="302" applyFont="1" applyAlignment="1">
      <alignment horizontal="left" vertical="center"/>
    </xf>
    <xf numFmtId="0" fontId="86" fillId="0" borderId="0" xfId="302" applyFont="1" applyAlignment="1">
      <alignment vertical="top" wrapText="1"/>
    </xf>
    <xf numFmtId="3" fontId="84" fillId="0" borderId="0" xfId="0" applyFont="1" applyAlignment="1">
      <alignment horizontal="center" wrapText="1"/>
    </xf>
    <xf numFmtId="3" fontId="84" fillId="0" borderId="0" xfId="0" applyFont="1" applyAlignment="1">
      <alignment wrapText="1"/>
    </xf>
    <xf numFmtId="0" fontId="89" fillId="0" borderId="0" xfId="302" applyFont="1" applyAlignment="1">
      <alignment horizontal="center" wrapText="1"/>
    </xf>
    <xf numFmtId="0" fontId="89" fillId="0" borderId="0" xfId="302" applyFont="1" applyAlignment="1">
      <alignment wrapText="1"/>
    </xf>
    <xf numFmtId="0" fontId="86" fillId="0" borderId="0" xfId="302" applyFont="1" applyAlignment="1">
      <alignment wrapText="1"/>
    </xf>
    <xf numFmtId="14" fontId="86" fillId="0" borderId="0" xfId="302" applyNumberFormat="1" applyFont="1" applyAlignment="1">
      <alignment horizontal="left" wrapText="1"/>
    </xf>
    <xf numFmtId="0" fontId="88" fillId="0" borderId="0" xfId="302" applyFont="1" applyAlignment="1">
      <alignment wrapText="1"/>
    </xf>
    <xf numFmtId="3" fontId="92" fillId="0" borderId="0" xfId="0" applyFont="1" applyAlignment="1">
      <alignment vertical="center" wrapText="1"/>
    </xf>
    <xf numFmtId="3" fontId="90" fillId="0" borderId="0" xfId="0" applyFont="1" applyAlignment="1">
      <alignment wrapText="1"/>
    </xf>
    <xf numFmtId="0" fontId="86" fillId="0" borderId="0" xfId="302" applyFont="1" applyAlignment="1">
      <alignment horizontal="left" vertical="top" wrapText="1"/>
    </xf>
    <xf numFmtId="1" fontId="86" fillId="0" borderId="0" xfId="302" applyNumberFormat="1" applyFont="1" applyAlignment="1">
      <alignment horizontal="left"/>
    </xf>
    <xf numFmtId="0" fontId="11" fillId="0" borderId="56" xfId="302" applyFont="1" applyBorder="1" applyAlignment="1">
      <alignment horizontal="center" vertical="center"/>
    </xf>
    <xf numFmtId="14" fontId="12" fillId="0" borderId="56" xfId="302" applyNumberFormat="1" applyFont="1" applyBorder="1" applyAlignment="1">
      <alignment horizontal="center" vertical="center"/>
    </xf>
    <xf numFmtId="3" fontId="91" fillId="25" borderId="60" xfId="0" applyFont="1" applyFill="1" applyBorder="1" applyAlignment="1">
      <alignment vertical="center"/>
    </xf>
    <xf numFmtId="3" fontId="91" fillId="25" borderId="61" xfId="0" applyFont="1" applyFill="1" applyBorder="1" applyAlignment="1">
      <alignment horizontal="center" vertical="center"/>
    </xf>
    <xf numFmtId="3" fontId="91" fillId="25" borderId="57" xfId="0" applyFont="1" applyFill="1" applyBorder="1" applyAlignment="1">
      <alignment horizontal="center" vertical="center"/>
    </xf>
    <xf numFmtId="0" fontId="88" fillId="0" borderId="63" xfId="302" applyFont="1" applyBorder="1" applyAlignment="1">
      <alignment wrapText="1"/>
    </xf>
    <xf numFmtId="14" fontId="88" fillId="0" borderId="63" xfId="302" applyNumberFormat="1" applyFont="1" applyBorder="1" applyAlignment="1">
      <alignment horizontal="center" wrapText="1"/>
    </xf>
    <xf numFmtId="0" fontId="12" fillId="0" borderId="52" xfId="302" applyFont="1" applyBorder="1" applyAlignment="1">
      <alignment horizontal="left" vertical="center" wrapText="1"/>
    </xf>
    <xf numFmtId="0" fontId="12" fillId="0" borderId="53" xfId="302" applyFont="1" applyBorder="1" applyAlignment="1">
      <alignment horizontal="left" vertical="center" wrapText="1"/>
    </xf>
    <xf numFmtId="0" fontId="93" fillId="0" borderId="0" xfId="302" applyFont="1" applyAlignment="1">
      <alignment horizontal="left" vertical="center" wrapText="1"/>
    </xf>
    <xf numFmtId="49" fontId="93" fillId="0" borderId="0" xfId="302" applyNumberFormat="1" applyFont="1" applyAlignment="1">
      <alignment horizontal="left" vertical="center" wrapText="1"/>
    </xf>
    <xf numFmtId="3" fontId="90" fillId="0" borderId="53" xfId="0" applyFont="1" applyBorder="1" applyAlignment="1">
      <alignment horizontal="center" vertical="center" wrapText="1"/>
    </xf>
    <xf numFmtId="3" fontId="84" fillId="0" borderId="0" xfId="0" applyFont="1" applyAlignment="1">
      <alignment vertical="center" wrapText="1"/>
    </xf>
    <xf numFmtId="3" fontId="90" fillId="0" borderId="0" xfId="0" applyFont="1" applyAlignment="1">
      <alignment horizontal="center" vertical="center" wrapText="1"/>
    </xf>
    <xf numFmtId="3" fontId="92" fillId="25" borderId="67" xfId="0" applyFont="1" applyFill="1" applyBorder="1" applyAlignment="1">
      <alignment horizontal="center" vertical="center" wrapText="1"/>
    </xf>
    <xf numFmtId="207" fontId="10" fillId="0" borderId="47" xfId="478" applyNumberFormat="1" applyFont="1" applyBorder="1" applyAlignment="1">
      <alignment horizontal="left" vertical="center" wrapText="1"/>
    </xf>
    <xf numFmtId="3" fontId="84" fillId="0" borderId="0" xfId="0" applyFont="1" applyAlignment="1">
      <alignment horizontal="left" vertical="center" wrapText="1"/>
    </xf>
    <xf numFmtId="3" fontId="84" fillId="0" borderId="0" xfId="0" applyFont="1" applyAlignment="1">
      <alignment horizontal="left" wrapText="1"/>
    </xf>
    <xf numFmtId="3" fontId="92" fillId="25" borderId="68" xfId="0" applyFont="1" applyFill="1" applyBorder="1" applyAlignment="1">
      <alignment horizontal="left" vertical="center" wrapText="1"/>
    </xf>
    <xf numFmtId="3" fontId="90" fillId="0" borderId="59" xfId="0" applyFont="1" applyBorder="1" applyAlignment="1">
      <alignment horizontal="left" vertical="center" wrapText="1"/>
    </xf>
    <xf numFmtId="0" fontId="10" fillId="0" borderId="59" xfId="302" applyFont="1" applyBorder="1" applyAlignment="1">
      <alignment horizontal="left" vertical="center" wrapText="1"/>
    </xf>
    <xf numFmtId="3" fontId="92" fillId="25" borderId="69" xfId="0" applyFont="1" applyFill="1" applyBorder="1" applyAlignment="1">
      <alignment horizontal="left" vertical="center" wrapText="1"/>
    </xf>
    <xf numFmtId="3" fontId="90" fillId="0" borderId="57" xfId="0" applyFont="1" applyBorder="1" applyAlignment="1">
      <alignment horizontal="left" vertical="center" wrapText="1"/>
    </xf>
    <xf numFmtId="0" fontId="10" fillId="0" borderId="57" xfId="302" applyFont="1" applyBorder="1" applyAlignment="1">
      <alignment horizontal="left" vertical="center" wrapText="1"/>
    </xf>
    <xf numFmtId="3" fontId="92" fillId="30" borderId="63" xfId="0" applyFont="1" applyFill="1" applyBorder="1" applyAlignment="1">
      <alignment horizontal="center" vertical="center" wrapText="1"/>
    </xf>
    <xf numFmtId="3" fontId="92" fillId="25" borderId="57" xfId="0" applyFont="1" applyFill="1" applyBorder="1" applyAlignment="1">
      <alignment vertical="center" wrapText="1"/>
    </xf>
    <xf numFmtId="14" fontId="12" fillId="0" borderId="57" xfId="302" applyNumberFormat="1" applyFont="1" applyBorder="1" applyAlignment="1">
      <alignment vertical="center" wrapText="1"/>
    </xf>
    <xf numFmtId="3" fontId="90" fillId="0" borderId="57" xfId="0" applyFont="1" applyBorder="1" applyAlignment="1">
      <alignment vertical="center" wrapText="1"/>
    </xf>
    <xf numFmtId="0" fontId="10" fillId="0" borderId="55" xfId="302" applyFont="1" applyBorder="1" applyAlignment="1">
      <alignment horizontal="left" vertical="center" wrapText="1"/>
    </xf>
    <xf numFmtId="0" fontId="12" fillId="0" borderId="55" xfId="302" applyFont="1" applyBorder="1" applyAlignment="1">
      <alignment horizontal="left" vertical="center" wrapText="1"/>
    </xf>
    <xf numFmtId="207" fontId="10" fillId="0" borderId="57" xfId="478" applyNumberFormat="1" applyFont="1" applyBorder="1" applyAlignment="1">
      <alignment horizontal="left" vertical="center" wrapText="1"/>
    </xf>
    <xf numFmtId="207" fontId="12" fillId="0" borderId="57" xfId="478" applyNumberFormat="1" applyFont="1" applyBorder="1" applyAlignment="1">
      <alignment horizontal="left" vertical="center" wrapText="1"/>
    </xf>
    <xf numFmtId="14" fontId="12" fillId="0" borderId="57" xfId="302" applyNumberFormat="1" applyFont="1" applyBorder="1" applyAlignment="1">
      <alignment horizontal="center" vertical="center" wrapText="1"/>
    </xf>
    <xf numFmtId="208" fontId="101" fillId="0" borderId="66" xfId="0" applyNumberFormat="1" applyFont="1" applyBorder="1" applyAlignment="1">
      <alignment horizontal="center" vertical="center" wrapText="1"/>
    </xf>
    <xf numFmtId="208" fontId="101" fillId="0" borderId="64" xfId="0" applyNumberFormat="1" applyFont="1" applyBorder="1" applyAlignment="1">
      <alignment horizontal="center" vertical="center" wrapText="1"/>
    </xf>
    <xf numFmtId="208" fontId="93" fillId="0" borderId="64" xfId="302" applyNumberFormat="1" applyFont="1" applyBorder="1" applyAlignment="1">
      <alignment horizontal="center" vertical="center" wrapText="1"/>
    </xf>
    <xf numFmtId="0" fontId="10" fillId="0" borderId="0" xfId="302" applyFont="1" applyAlignment="1">
      <alignment horizontal="left" vertical="center" wrapText="1"/>
    </xf>
    <xf numFmtId="207" fontId="10" fillId="0" borderId="0" xfId="478" applyNumberFormat="1" applyFont="1" applyBorder="1" applyAlignment="1">
      <alignment horizontal="left" vertical="center" wrapText="1"/>
    </xf>
    <xf numFmtId="3" fontId="90" fillId="0" borderId="0" xfId="0" applyFont="1" applyAlignment="1">
      <alignment horizontal="left" vertical="center" wrapText="1"/>
    </xf>
    <xf numFmtId="207" fontId="10" fillId="0" borderId="59" xfId="478" applyNumberFormat="1" applyFont="1" applyBorder="1" applyAlignment="1">
      <alignment horizontal="left" vertical="center" wrapText="1"/>
    </xf>
    <xf numFmtId="207" fontId="12" fillId="0" borderId="59" xfId="478" applyNumberFormat="1" applyFont="1" applyBorder="1" applyAlignment="1">
      <alignment horizontal="left" vertical="center" wrapText="1"/>
    </xf>
    <xf numFmtId="3" fontId="90" fillId="0" borderId="70" xfId="0" applyFont="1" applyBorder="1" applyAlignment="1">
      <alignment horizontal="left" vertical="center" wrapText="1"/>
    </xf>
    <xf numFmtId="0" fontId="102" fillId="0" borderId="54" xfId="302" applyFont="1" applyBorder="1" applyAlignment="1">
      <alignment horizontal="left" vertical="center"/>
    </xf>
    <xf numFmtId="0" fontId="9" fillId="0" borderId="56" xfId="302" applyFont="1" applyBorder="1" applyAlignment="1">
      <alignment horizontal="center" vertical="center"/>
    </xf>
    <xf numFmtId="207" fontId="9" fillId="0" borderId="56" xfId="478" applyNumberFormat="1" applyFont="1" applyBorder="1" applyAlignment="1">
      <alignment horizontal="center" vertical="center"/>
    </xf>
    <xf numFmtId="0" fontId="102" fillId="0" borderId="71" xfId="302" applyFont="1" applyBorder="1" applyAlignment="1">
      <alignment horizontal="left" vertical="center"/>
    </xf>
    <xf numFmtId="0" fontId="9" fillId="0" borderId="72" xfId="302" applyFont="1" applyBorder="1" applyAlignment="1">
      <alignment horizontal="center" vertical="center"/>
    </xf>
    <xf numFmtId="207" fontId="8" fillId="0" borderId="56" xfId="478" applyNumberFormat="1" applyFont="1" applyBorder="1" applyAlignment="1">
      <alignment horizontal="center" vertical="center"/>
    </xf>
    <xf numFmtId="0" fontId="8" fillId="0" borderId="56" xfId="302" applyFont="1" applyBorder="1" applyAlignment="1">
      <alignment horizontal="center" vertical="center"/>
    </xf>
    <xf numFmtId="0" fontId="99" fillId="30" borderId="51" xfId="302" applyFont="1" applyFill="1" applyBorder="1" applyAlignment="1">
      <alignment horizontal="left" vertical="top"/>
    </xf>
    <xf numFmtId="0" fontId="7" fillId="0" borderId="76" xfId="302" applyFont="1" applyBorder="1" applyAlignment="1">
      <alignment horizontal="center" vertical="center"/>
    </xf>
    <xf numFmtId="0" fontId="6" fillId="0" borderId="56" xfId="302" applyFont="1" applyBorder="1" applyAlignment="1">
      <alignment horizontal="center" vertical="center"/>
    </xf>
    <xf numFmtId="3" fontId="104" fillId="0" borderId="0" xfId="0" applyFont="1"/>
    <xf numFmtId="0" fontId="105" fillId="0" borderId="71" xfId="302" applyFont="1" applyBorder="1" applyAlignment="1">
      <alignment horizontal="left" vertical="center"/>
    </xf>
    <xf numFmtId="0" fontId="90" fillId="0" borderId="72" xfId="302" applyFont="1" applyBorder="1" applyAlignment="1">
      <alignment horizontal="center" vertical="center"/>
    </xf>
    <xf numFmtId="207" fontId="90" fillId="0" borderId="72" xfId="478" applyNumberFormat="1" applyFont="1" applyBorder="1" applyAlignment="1">
      <alignment horizontal="center" vertical="center"/>
    </xf>
    <xf numFmtId="14" fontId="90" fillId="0" borderId="72" xfId="302" applyNumberFormat="1" applyFont="1" applyBorder="1" applyAlignment="1">
      <alignment horizontal="center" vertical="center"/>
    </xf>
    <xf numFmtId="14" fontId="90" fillId="0" borderId="75" xfId="302" applyNumberFormat="1" applyFont="1" applyBorder="1" applyAlignment="1">
      <alignment horizontal="center" vertical="center"/>
    </xf>
    <xf numFmtId="0" fontId="90" fillId="0" borderId="78" xfId="302" applyFont="1" applyBorder="1" applyAlignment="1">
      <alignment horizontal="center" vertical="center"/>
    </xf>
    <xf numFmtId="0" fontId="90" fillId="0" borderId="76" xfId="302" applyFont="1" applyBorder="1" applyAlignment="1">
      <alignment horizontal="center" vertical="center"/>
    </xf>
    <xf numFmtId="0" fontId="90" fillId="0" borderId="75" xfId="302" applyFont="1" applyBorder="1" applyAlignment="1">
      <alignment horizontal="center" vertical="center"/>
    </xf>
    <xf numFmtId="0" fontId="105" fillId="31" borderId="54" xfId="302" applyFont="1" applyFill="1" applyBorder="1" applyAlignment="1">
      <alignment horizontal="left" vertical="center"/>
    </xf>
    <xf numFmtId="0" fontId="90" fillId="31" borderId="56" xfId="302" applyFont="1" applyFill="1" applyBorder="1" applyAlignment="1">
      <alignment horizontal="center" vertical="center"/>
    </xf>
    <xf numFmtId="207" fontId="90" fillId="31" borderId="56" xfId="478" applyNumberFormat="1" applyFont="1" applyFill="1" applyBorder="1" applyAlignment="1">
      <alignment horizontal="center" vertical="center"/>
    </xf>
    <xf numFmtId="14" fontId="90" fillId="31" borderId="56" xfId="302" applyNumberFormat="1" applyFont="1" applyFill="1" applyBorder="1" applyAlignment="1">
      <alignment horizontal="center" vertical="center"/>
    </xf>
    <xf numFmtId="14" fontId="90" fillId="31" borderId="76" xfId="302" applyNumberFormat="1" applyFont="1" applyFill="1" applyBorder="1" applyAlignment="1">
      <alignment horizontal="center" vertical="center"/>
    </xf>
    <xf numFmtId="0" fontId="105" fillId="31" borderId="71" xfId="302" applyFont="1" applyFill="1" applyBorder="1" applyAlignment="1">
      <alignment horizontal="left" vertical="center"/>
    </xf>
    <xf numFmtId="0" fontId="90" fillId="31" borderId="72" xfId="302" applyFont="1" applyFill="1" applyBorder="1" applyAlignment="1">
      <alignment horizontal="center" vertical="center"/>
    </xf>
    <xf numFmtId="207" fontId="90" fillId="31" borderId="72" xfId="478" applyNumberFormat="1" applyFont="1" applyFill="1" applyBorder="1" applyAlignment="1">
      <alignment horizontal="center" vertical="center"/>
    </xf>
    <xf numFmtId="14" fontId="90" fillId="31" borderId="72" xfId="302" applyNumberFormat="1" applyFont="1" applyFill="1" applyBorder="1" applyAlignment="1">
      <alignment horizontal="center" vertical="center"/>
    </xf>
    <xf numFmtId="14" fontId="90" fillId="31" borderId="77" xfId="302" applyNumberFormat="1" applyFont="1" applyFill="1" applyBorder="1" applyAlignment="1">
      <alignment horizontal="center" vertical="center"/>
    </xf>
    <xf numFmtId="14" fontId="90" fillId="0" borderId="76" xfId="302" applyNumberFormat="1" applyFont="1" applyBorder="1" applyAlignment="1">
      <alignment horizontal="center" vertical="center"/>
    </xf>
    <xf numFmtId="0" fontId="90" fillId="0" borderId="80" xfId="302" applyFont="1" applyBorder="1" applyAlignment="1">
      <alignment horizontal="center" vertical="center"/>
    </xf>
    <xf numFmtId="3" fontId="91" fillId="25" borderId="79" xfId="0" applyFont="1" applyFill="1" applyBorder="1" applyAlignment="1">
      <alignment horizontal="center" vertical="center" wrapText="1"/>
    </xf>
    <xf numFmtId="0" fontId="99" fillId="30" borderId="50" xfId="302" applyFont="1" applyFill="1" applyBorder="1" applyAlignment="1">
      <alignment vertical="top"/>
    </xf>
    <xf numFmtId="0" fontId="99" fillId="30" borderId="51" xfId="302" applyFont="1" applyFill="1" applyBorder="1" applyAlignment="1">
      <alignment vertical="top"/>
    </xf>
    <xf numFmtId="0" fontId="106" fillId="0" borderId="0" xfId="302" applyFont="1"/>
    <xf numFmtId="0" fontId="108" fillId="0" borderId="0" xfId="302" applyFont="1" applyAlignment="1">
      <alignment horizontal="center"/>
    </xf>
    <xf numFmtId="0" fontId="108" fillId="0" borderId="0" xfId="302" applyFont="1"/>
    <xf numFmtId="0" fontId="109" fillId="0" borderId="0" xfId="302" applyFont="1"/>
    <xf numFmtId="0" fontId="110" fillId="0" borderId="0" xfId="302" applyFont="1" applyAlignment="1">
      <alignment horizontal="left"/>
    </xf>
    <xf numFmtId="14" fontId="111" fillId="0" borderId="0" xfId="302" applyNumberFormat="1" applyFont="1" applyAlignment="1">
      <alignment horizontal="left"/>
    </xf>
    <xf numFmtId="0" fontId="112" fillId="0" borderId="0" xfId="302" applyFont="1"/>
    <xf numFmtId="0" fontId="110" fillId="0" borderId="0" xfId="302" applyFont="1"/>
    <xf numFmtId="1" fontId="111" fillId="0" borderId="0" xfId="302" applyNumberFormat="1" applyFont="1" applyAlignment="1">
      <alignment horizontal="left"/>
    </xf>
    <xf numFmtId="49" fontId="110" fillId="0" borderId="0" xfId="302" applyNumberFormat="1" applyFont="1" applyAlignment="1">
      <alignment horizontal="left"/>
    </xf>
    <xf numFmtId="49" fontId="110" fillId="0" borderId="0" xfId="302" applyNumberFormat="1" applyFont="1"/>
    <xf numFmtId="0" fontId="111" fillId="0" borderId="0" xfId="302" applyFont="1" applyAlignment="1">
      <alignment vertical="top" wrapText="1"/>
    </xf>
    <xf numFmtId="0" fontId="7" fillId="0" borderId="80" xfId="302" applyFont="1" applyBorder="1" applyAlignment="1">
      <alignment horizontal="center" vertical="center"/>
    </xf>
    <xf numFmtId="0" fontId="5" fillId="0" borderId="80" xfId="302" applyFont="1" applyBorder="1" applyAlignment="1">
      <alignment horizontal="center" vertical="center"/>
    </xf>
    <xf numFmtId="3" fontId="91" fillId="25" borderId="62" xfId="0" applyFont="1" applyFill="1" applyBorder="1" applyAlignment="1">
      <alignment vertical="center"/>
    </xf>
    <xf numFmtId="0" fontId="102" fillId="0" borderId="58" xfId="302" applyFont="1" applyBorder="1" applyAlignment="1">
      <alignment horizontal="left" vertical="center"/>
    </xf>
    <xf numFmtId="0" fontId="105" fillId="31" borderId="58" xfId="302" applyFont="1" applyFill="1" applyBorder="1" applyAlignment="1">
      <alignment horizontal="left" vertical="center"/>
    </xf>
    <xf numFmtId="0" fontId="105" fillId="0" borderId="82" xfId="302" applyFont="1" applyBorder="1" applyAlignment="1">
      <alignment horizontal="left" vertical="center"/>
    </xf>
    <xf numFmtId="0" fontId="105" fillId="31" borderId="82" xfId="302" applyFont="1" applyFill="1" applyBorder="1" applyAlignment="1">
      <alignment horizontal="left" vertical="center"/>
    </xf>
    <xf numFmtId="0" fontId="4" fillId="0" borderId="0" xfId="302" applyFont="1" applyAlignment="1">
      <alignment horizontal="left" vertical="center" wrapText="1"/>
    </xf>
    <xf numFmtId="0" fontId="4" fillId="0" borderId="56" xfId="302" applyFont="1" applyBorder="1" applyAlignment="1">
      <alignment horizontal="center" vertical="center"/>
    </xf>
    <xf numFmtId="0" fontId="3" fillId="0" borderId="0" xfId="302" applyFont="1" applyAlignment="1">
      <alignment horizontal="left" vertical="center" wrapText="1"/>
    </xf>
    <xf numFmtId="0" fontId="113" fillId="32" borderId="0" xfId="479" applyNumberFormat="1" applyFill="1" applyAlignment="1">
      <alignment horizontal="center" vertical="center"/>
    </xf>
    <xf numFmtId="0" fontId="92" fillId="30" borderId="0" xfId="302" applyFont="1" applyFill="1" applyAlignment="1">
      <alignment horizontal="left" vertical="center"/>
    </xf>
    <xf numFmtId="3" fontId="91" fillId="25" borderId="74" xfId="0" applyFont="1" applyFill="1" applyBorder="1" applyAlignment="1">
      <alignment horizontal="left" vertical="center" wrapText="1"/>
    </xf>
    <xf numFmtId="0" fontId="105" fillId="0" borderId="54" xfId="302" applyFont="1" applyBorder="1" applyAlignment="1">
      <alignment horizontal="left" vertical="center"/>
    </xf>
    <xf numFmtId="0" fontId="105" fillId="0" borderId="58" xfId="302" applyFont="1" applyBorder="1" applyAlignment="1">
      <alignment horizontal="left" vertical="center"/>
    </xf>
    <xf numFmtId="0" fontId="90" fillId="0" borderId="56" xfId="302" applyFont="1" applyBorder="1" applyAlignment="1">
      <alignment horizontal="center" vertical="center"/>
    </xf>
    <xf numFmtId="207" fontId="90" fillId="0" borderId="56" xfId="478" applyNumberFormat="1" applyFont="1" applyFill="1" applyBorder="1" applyAlignment="1">
      <alignment horizontal="center" vertical="center"/>
    </xf>
    <xf numFmtId="14" fontId="90" fillId="0" borderId="56" xfId="302" applyNumberFormat="1" applyFont="1" applyBorder="1" applyAlignment="1">
      <alignment horizontal="center" vertical="center"/>
    </xf>
    <xf numFmtId="0" fontId="105" fillId="0" borderId="71" xfId="302" applyFont="1" applyBorder="1" applyAlignment="1">
      <alignment horizontal="left" vertical="center" wrapText="1"/>
    </xf>
    <xf numFmtId="0" fontId="105" fillId="0" borderId="82" xfId="302" applyFont="1" applyBorder="1" applyAlignment="1">
      <alignment horizontal="left" vertical="center" wrapText="1"/>
    </xf>
    <xf numFmtId="207" fontId="90" fillId="0" borderId="72" xfId="478" applyNumberFormat="1" applyFont="1" applyFill="1" applyBorder="1" applyAlignment="1">
      <alignment horizontal="center" vertical="center"/>
    </xf>
    <xf numFmtId="14" fontId="90" fillId="0" borderId="78" xfId="302" applyNumberFormat="1" applyFont="1" applyBorder="1" applyAlignment="1">
      <alignment horizontal="center" vertical="center"/>
    </xf>
    <xf numFmtId="0" fontId="104" fillId="0" borderId="56" xfId="302" applyFont="1" applyBorder="1" applyAlignment="1">
      <alignment horizontal="center" vertical="center"/>
    </xf>
    <xf numFmtId="3" fontId="91" fillId="25" borderId="63" xfId="0" applyFont="1" applyFill="1" applyBorder="1" applyAlignment="1">
      <alignment horizontal="left" vertical="center" wrapText="1"/>
    </xf>
    <xf numFmtId="1" fontId="86" fillId="33" borderId="0" xfId="302" applyNumberFormat="1" applyFont="1" applyFill="1" applyAlignment="1">
      <alignment horizontal="left"/>
    </xf>
    <xf numFmtId="0" fontId="86" fillId="33" borderId="0" xfId="302" applyFont="1" applyFill="1" applyAlignment="1">
      <alignment vertical="top" wrapText="1"/>
    </xf>
    <xf numFmtId="207" fontId="2" fillId="0" borderId="57" xfId="478" applyNumberFormat="1" applyFont="1" applyBorder="1" applyAlignment="1">
      <alignment horizontal="left" vertical="center" wrapText="1"/>
    </xf>
    <xf numFmtId="3" fontId="95" fillId="0" borderId="0" xfId="455" applyFont="1"/>
    <xf numFmtId="3" fontId="84" fillId="0" borderId="0" xfId="455" applyFont="1" applyAlignment="1">
      <alignment horizontal="center"/>
    </xf>
    <xf numFmtId="209" fontId="84" fillId="0" borderId="0" xfId="455" applyNumberFormat="1" applyFont="1"/>
    <xf numFmtId="3" fontId="84" fillId="0" borderId="0" xfId="455" applyFont="1"/>
    <xf numFmtId="0" fontId="96" fillId="0" borderId="0" xfId="480" applyFont="1"/>
    <xf numFmtId="0" fontId="89" fillId="0" borderId="0" xfId="480" applyFont="1" applyAlignment="1">
      <alignment horizontal="center"/>
    </xf>
    <xf numFmtId="209" fontId="89" fillId="0" borderId="0" xfId="480" applyNumberFormat="1" applyFont="1"/>
    <xf numFmtId="0" fontId="86" fillId="0" borderId="0" xfId="480" applyFont="1"/>
    <xf numFmtId="0" fontId="89" fillId="0" borderId="0" xfId="480" applyFont="1" applyAlignment="1">
      <alignment wrapText="1"/>
    </xf>
    <xf numFmtId="0" fontId="89" fillId="0" borderId="0" xfId="480" applyFont="1" applyAlignment="1">
      <alignment horizontal="center" wrapText="1"/>
    </xf>
    <xf numFmtId="209" fontId="89" fillId="0" borderId="0" xfId="480" applyNumberFormat="1" applyFont="1" applyAlignment="1">
      <alignment wrapText="1"/>
    </xf>
    <xf numFmtId="0" fontId="86" fillId="0" borderId="0" xfId="480" applyFont="1" applyAlignment="1">
      <alignment wrapText="1"/>
    </xf>
    <xf numFmtId="0" fontId="93" fillId="0" borderId="0" xfId="480" applyFont="1" applyAlignment="1">
      <alignment horizontal="left"/>
    </xf>
    <xf numFmtId="14" fontId="86" fillId="0" borderId="0" xfId="480" applyNumberFormat="1" applyFont="1" applyAlignment="1">
      <alignment horizontal="left"/>
    </xf>
    <xf numFmtId="209" fontId="88" fillId="0" borderId="0" xfId="480" applyNumberFormat="1" applyFont="1"/>
    <xf numFmtId="0" fontId="88" fillId="0" borderId="0" xfId="480" applyFont="1"/>
    <xf numFmtId="0" fontId="93" fillId="0" borderId="0" xfId="480" applyFont="1"/>
    <xf numFmtId="1" fontId="86" fillId="0" borderId="0" xfId="480" applyNumberFormat="1" applyFont="1" applyAlignment="1">
      <alignment horizontal="left"/>
    </xf>
    <xf numFmtId="0" fontId="93" fillId="0" borderId="0" xfId="480" applyFont="1" applyAlignment="1">
      <alignment horizontal="right" vertical="center"/>
    </xf>
    <xf numFmtId="0" fontId="86" fillId="0" borderId="0" xfId="480" applyFont="1" applyAlignment="1">
      <alignment horizontal="left" vertical="center"/>
    </xf>
    <xf numFmtId="49" fontId="93" fillId="0" borderId="0" xfId="480" applyNumberFormat="1" applyFont="1" applyAlignment="1">
      <alignment horizontal="left"/>
    </xf>
    <xf numFmtId="0" fontId="86" fillId="0" borderId="0" xfId="480" applyFont="1" applyAlignment="1">
      <alignment horizontal="left" vertical="top" wrapText="1"/>
    </xf>
    <xf numFmtId="49" fontId="93" fillId="0" borderId="0" xfId="480" applyNumberFormat="1" applyFont="1"/>
    <xf numFmtId="0" fontId="86" fillId="0" borderId="0" xfId="480" applyFont="1" applyAlignment="1">
      <alignment vertical="top" wrapText="1"/>
    </xf>
    <xf numFmtId="209" fontId="86" fillId="0" borderId="0" xfId="480" applyNumberFormat="1" applyFont="1" applyAlignment="1">
      <alignment wrapText="1"/>
    </xf>
    <xf numFmtId="0" fontId="88" fillId="0" borderId="63" xfId="480" applyFont="1" applyBorder="1"/>
    <xf numFmtId="14" fontId="88" fillId="0" borderId="63" xfId="480" applyNumberFormat="1" applyFont="1" applyBorder="1" applyAlignment="1">
      <alignment horizontal="center"/>
    </xf>
    <xf numFmtId="209" fontId="88" fillId="0" borderId="63" xfId="480" applyNumberFormat="1" applyFont="1" applyBorder="1"/>
    <xf numFmtId="49" fontId="88" fillId="0" borderId="0" xfId="480" applyNumberFormat="1" applyFont="1" applyAlignment="1">
      <alignment horizontal="right"/>
    </xf>
    <xf numFmtId="14" fontId="88" fillId="0" borderId="0" xfId="480" applyNumberFormat="1" applyFont="1"/>
    <xf numFmtId="3" fontId="92" fillId="0" borderId="0" xfId="455" applyFont="1" applyAlignment="1">
      <alignment vertical="center"/>
    </xf>
    <xf numFmtId="3" fontId="92" fillId="30" borderId="65" xfId="455" applyFont="1" applyFill="1" applyBorder="1" applyAlignment="1">
      <alignment vertical="center" wrapText="1"/>
    </xf>
    <xf numFmtId="3" fontId="91" fillId="25" borderId="61" xfId="455" applyFont="1" applyFill="1" applyBorder="1" applyAlignment="1">
      <alignment vertical="center"/>
    </xf>
    <xf numFmtId="3" fontId="91" fillId="25" borderId="63" xfId="455" applyFont="1" applyFill="1" applyBorder="1" applyAlignment="1">
      <alignment horizontal="right" vertical="center"/>
    </xf>
    <xf numFmtId="3" fontId="91" fillId="25" borderId="62" xfId="455" applyFont="1" applyFill="1" applyBorder="1" applyAlignment="1">
      <alignment horizontal="left" vertical="center"/>
    </xf>
    <xf numFmtId="3" fontId="91" fillId="25" borderId="63" xfId="455" applyFont="1" applyFill="1" applyBorder="1" applyAlignment="1">
      <alignment horizontal="center" vertical="center"/>
    </xf>
    <xf numFmtId="3" fontId="91" fillId="25" borderId="63" xfId="455" applyFont="1" applyFill="1" applyBorder="1" applyAlignment="1">
      <alignment horizontal="left" vertical="center"/>
    </xf>
    <xf numFmtId="3" fontId="90" fillId="0" borderId="0" xfId="455" applyFont="1"/>
    <xf numFmtId="0" fontId="2" fillId="0" borderId="47" xfId="480" applyBorder="1" applyAlignment="1">
      <alignment horizontal="left" vertical="center"/>
    </xf>
    <xf numFmtId="0" fontId="2" fillId="0" borderId="48" xfId="480" applyBorder="1" applyAlignment="1">
      <alignment horizontal="left" vertical="center"/>
    </xf>
    <xf numFmtId="0" fontId="2" fillId="0" borderId="0" xfId="480" applyAlignment="1">
      <alignment horizontal="right" vertical="center"/>
    </xf>
    <xf numFmtId="0" fontId="2" fillId="0" borderId="0" xfId="455" applyNumberFormat="1" applyFont="1" applyAlignment="1">
      <alignment horizontal="center" vertical="center"/>
    </xf>
    <xf numFmtId="0" fontId="2" fillId="0" borderId="0" xfId="480" quotePrefix="1" applyAlignment="1">
      <alignment horizontal="center" vertical="center"/>
    </xf>
    <xf numFmtId="3" fontId="90" fillId="0" borderId="0" xfId="455" applyFont="1" applyAlignment="1">
      <alignment horizontal="center"/>
    </xf>
    <xf numFmtId="1" fontId="2" fillId="0" borderId="0" xfId="480" quotePrefix="1" applyNumberFormat="1" applyAlignment="1">
      <alignment horizontal="center" vertical="center"/>
    </xf>
    <xf numFmtId="0" fontId="2" fillId="0" borderId="49" xfId="480" applyBorder="1" applyAlignment="1">
      <alignment horizontal="left" vertical="center"/>
    </xf>
    <xf numFmtId="0" fontId="2" fillId="0" borderId="48" xfId="480" applyBorder="1" applyAlignment="1">
      <alignment horizontal="center" vertical="center"/>
    </xf>
    <xf numFmtId="209" fontId="2" fillId="0" borderId="48" xfId="481" applyNumberFormat="1" applyFont="1" applyBorder="1" applyAlignment="1"/>
    <xf numFmtId="14" fontId="2" fillId="0" borderId="48" xfId="480" applyNumberFormat="1" applyBorder="1" applyAlignment="1">
      <alignment horizontal="center" vertical="center"/>
    </xf>
    <xf numFmtId="14" fontId="2" fillId="0" borderId="73" xfId="480" applyNumberFormat="1" applyBorder="1" applyAlignment="1">
      <alignment horizontal="center" vertical="center"/>
    </xf>
    <xf numFmtId="0" fontId="2" fillId="0" borderId="0" xfId="480" applyAlignment="1">
      <alignment horizontal="center" vertical="center"/>
    </xf>
    <xf numFmtId="0" fontId="2" fillId="0" borderId="0" xfId="480" applyAlignment="1">
      <alignment horizontal="left" vertical="center"/>
    </xf>
    <xf numFmtId="14" fontId="2" fillId="0" borderId="0" xfId="480" applyNumberFormat="1" applyAlignment="1">
      <alignment horizontal="center" vertical="center"/>
    </xf>
    <xf numFmtId="3" fontId="103" fillId="0" borderId="0" xfId="455" applyFont="1" applyAlignment="1">
      <alignment horizontal="center" vertical="center"/>
    </xf>
    <xf numFmtId="3" fontId="84" fillId="0" borderId="0" xfId="455" applyFont="1" applyAlignment="1">
      <alignment wrapText="1"/>
    </xf>
    <xf numFmtId="3" fontId="84" fillId="0" borderId="47" xfId="455" applyFont="1" applyBorder="1" applyAlignment="1">
      <alignment wrapText="1"/>
    </xf>
    <xf numFmtId="3" fontId="84" fillId="0" borderId="47" xfId="455" applyFont="1" applyBorder="1"/>
    <xf numFmtId="0" fontId="96" fillId="0" borderId="0" xfId="482" applyFont="1"/>
    <xf numFmtId="0" fontId="89" fillId="0" borderId="0" xfId="482" applyFont="1" applyAlignment="1">
      <alignment horizontal="center"/>
    </xf>
    <xf numFmtId="0" fontId="86" fillId="0" borderId="0" xfId="482" applyFont="1"/>
    <xf numFmtId="0" fontId="86" fillId="0" borderId="0" xfId="482" applyFont="1" applyAlignment="1">
      <alignment wrapText="1"/>
    </xf>
    <xf numFmtId="0" fontId="86" fillId="0" borderId="47" xfId="482" applyFont="1" applyBorder="1" applyAlignment="1">
      <alignment wrapText="1"/>
    </xf>
    <xf numFmtId="0" fontId="86" fillId="0" borderId="47" xfId="482" applyFont="1" applyBorder="1"/>
    <xf numFmtId="0" fontId="89" fillId="0" borderId="0" xfId="482" applyFont="1" applyAlignment="1">
      <alignment wrapText="1"/>
    </xf>
    <xf numFmtId="0" fontId="89" fillId="0" borderId="0" xfId="482" applyFont="1" applyAlignment="1">
      <alignment horizontal="center" wrapText="1"/>
    </xf>
    <xf numFmtId="0" fontId="93" fillId="0" borderId="0" xfId="482" applyFont="1" applyAlignment="1">
      <alignment horizontal="left"/>
    </xf>
    <xf numFmtId="14" fontId="86" fillId="0" borderId="0" xfId="482" applyNumberFormat="1" applyFont="1" applyAlignment="1">
      <alignment horizontal="left"/>
    </xf>
    <xf numFmtId="0" fontId="93" fillId="0" borderId="0" xfId="482" applyFont="1"/>
    <xf numFmtId="1" fontId="86" fillId="0" borderId="0" xfId="482" applyNumberFormat="1" applyFont="1" applyAlignment="1">
      <alignment horizontal="left"/>
    </xf>
    <xf numFmtId="0" fontId="88" fillId="0" borderId="0" xfId="482" applyFont="1"/>
    <xf numFmtId="0" fontId="93" fillId="0" borderId="0" xfId="482" applyFont="1" applyAlignment="1">
      <alignment horizontal="right" vertical="center"/>
    </xf>
    <xf numFmtId="0" fontId="86" fillId="0" borderId="0" xfId="482" applyFont="1" applyAlignment="1">
      <alignment horizontal="left" vertical="center"/>
    </xf>
    <xf numFmtId="0" fontId="86" fillId="0" borderId="0" xfId="482" applyFont="1" applyAlignment="1">
      <alignment horizontal="left" vertical="center" wrapText="1"/>
    </xf>
    <xf numFmtId="0" fontId="86" fillId="0" borderId="47" xfId="482" applyFont="1" applyBorder="1" applyAlignment="1">
      <alignment horizontal="left" vertical="center" wrapText="1"/>
    </xf>
    <xf numFmtId="0" fontId="88" fillId="0" borderId="47" xfId="482" applyFont="1" applyBorder="1"/>
    <xf numFmtId="49" fontId="93" fillId="0" borderId="0" xfId="482" applyNumberFormat="1" applyFont="1" applyAlignment="1">
      <alignment horizontal="left"/>
    </xf>
    <xf numFmtId="0" fontId="86" fillId="0" borderId="0" xfId="482" applyFont="1" applyAlignment="1">
      <alignment vertical="top" wrapText="1"/>
    </xf>
    <xf numFmtId="49" fontId="93" fillId="0" borderId="0" xfId="482" applyNumberFormat="1" applyFont="1"/>
    <xf numFmtId="0" fontId="88" fillId="0" borderId="0" xfId="482" applyFont="1" applyAlignment="1">
      <alignment wrapText="1"/>
    </xf>
    <xf numFmtId="0" fontId="88" fillId="0" borderId="47" xfId="482" applyFont="1" applyBorder="1" applyAlignment="1">
      <alignment wrapText="1"/>
    </xf>
    <xf numFmtId="14" fontId="88" fillId="0" borderId="0" xfId="482" applyNumberFormat="1" applyFont="1" applyAlignment="1">
      <alignment horizontal="center"/>
    </xf>
    <xf numFmtId="49" fontId="88" fillId="0" borderId="0" xfId="482" applyNumberFormat="1" applyFont="1" applyAlignment="1">
      <alignment horizontal="right"/>
    </xf>
    <xf numFmtId="14" fontId="88" fillId="0" borderId="0" xfId="482" applyNumberFormat="1" applyFont="1"/>
    <xf numFmtId="14" fontId="88" fillId="0" borderId="0" xfId="482" applyNumberFormat="1" applyFont="1" applyAlignment="1">
      <alignment wrapText="1"/>
    </xf>
    <xf numFmtId="14" fontId="88" fillId="0" borderId="47" xfId="482" applyNumberFormat="1" applyFont="1" applyBorder="1" applyAlignment="1">
      <alignment wrapText="1"/>
    </xf>
    <xf numFmtId="3" fontId="91" fillId="25" borderId="60" xfId="455" applyFont="1" applyFill="1" applyBorder="1" applyAlignment="1">
      <alignment vertical="center"/>
    </xf>
    <xf numFmtId="3" fontId="91" fillId="25" borderId="61" xfId="455" applyFont="1" applyFill="1" applyBorder="1" applyAlignment="1">
      <alignment horizontal="center" vertical="center"/>
    </xf>
    <xf numFmtId="3" fontId="92" fillId="30" borderId="62" xfId="455" applyFont="1" applyFill="1" applyBorder="1" applyAlignment="1">
      <alignment vertical="center" wrapText="1"/>
    </xf>
    <xf numFmtId="3" fontId="92" fillId="30" borderId="59" xfId="455" applyFont="1" applyFill="1" applyBorder="1" applyAlignment="1">
      <alignment vertical="center" wrapText="1"/>
    </xf>
    <xf numFmtId="3" fontId="91" fillId="25" borderId="57" xfId="455" applyFont="1" applyFill="1" applyBorder="1" applyAlignment="1">
      <alignment vertical="center"/>
    </xf>
    <xf numFmtId="3" fontId="91" fillId="25" borderId="0" xfId="455" applyFont="1" applyFill="1" applyAlignment="1">
      <alignment horizontal="right" vertical="center"/>
    </xf>
    <xf numFmtId="3" fontId="91" fillId="25" borderId="59" xfId="455" applyFont="1" applyFill="1" applyBorder="1" applyAlignment="1">
      <alignment horizontal="left" vertical="center"/>
    </xf>
    <xf numFmtId="3" fontId="91" fillId="25" borderId="0" xfId="455" applyFont="1" applyFill="1" applyAlignment="1">
      <alignment horizontal="left" vertical="center"/>
    </xf>
    <xf numFmtId="3" fontId="91" fillId="25" borderId="0" xfId="455" applyFont="1" applyFill="1" applyAlignment="1">
      <alignment horizontal="center" vertical="center"/>
    </xf>
    <xf numFmtId="3" fontId="91" fillId="25" borderId="0" xfId="455" applyFont="1" applyFill="1" applyAlignment="1">
      <alignment horizontal="center" vertical="center" wrapText="1"/>
    </xf>
    <xf numFmtId="3" fontId="91" fillId="25" borderId="47" xfId="455" applyFont="1" applyFill="1" applyBorder="1" applyAlignment="1">
      <alignment horizontal="center" vertical="center" wrapText="1"/>
    </xf>
    <xf numFmtId="3" fontId="91" fillId="25" borderId="47" xfId="455" applyFont="1" applyFill="1" applyBorder="1" applyAlignment="1">
      <alignment horizontal="center" vertical="center"/>
    </xf>
    <xf numFmtId="0" fontId="1" fillId="0" borderId="54" xfId="482" applyBorder="1" applyAlignment="1">
      <alignment horizontal="left" vertical="center"/>
    </xf>
    <xf numFmtId="0" fontId="1" fillId="0" borderId="56" xfId="482" applyBorder="1" applyAlignment="1">
      <alignment horizontal="left" vertical="center"/>
    </xf>
    <xf numFmtId="0" fontId="1" fillId="0" borderId="51" xfId="482" applyBorder="1" applyAlignment="1">
      <alignment horizontal="right" vertical="center"/>
    </xf>
    <xf numFmtId="0" fontId="1" fillId="0" borderId="58" xfId="482" applyBorder="1" applyAlignment="1">
      <alignment horizontal="left" vertical="center"/>
    </xf>
    <xf numFmtId="0" fontId="1" fillId="0" borderId="51" xfId="482" applyBorder="1" applyAlignment="1">
      <alignment horizontal="left" vertical="center"/>
    </xf>
    <xf numFmtId="210" fontId="1" fillId="0" borderId="83" xfId="455" applyNumberFormat="1" applyFont="1" applyBorder="1" applyAlignment="1">
      <alignment horizontal="center" vertical="center"/>
    </xf>
    <xf numFmtId="210" fontId="113" fillId="0" borderId="48" xfId="479" applyNumberFormat="1" applyBorder="1" applyAlignment="1">
      <alignment horizontal="center" vertical="center" wrapText="1"/>
    </xf>
    <xf numFmtId="1" fontId="90" fillId="0" borderId="47" xfId="455" applyNumberFormat="1" applyFont="1" applyBorder="1" applyAlignment="1">
      <alignment horizontal="center" vertical="center"/>
    </xf>
    <xf numFmtId="1" fontId="90" fillId="0" borderId="53" xfId="455" applyNumberFormat="1" applyFont="1" applyBorder="1" applyAlignment="1">
      <alignment horizontal="center" vertical="center"/>
    </xf>
    <xf numFmtId="0" fontId="1" fillId="0" borderId="55" xfId="482" applyBorder="1" applyAlignment="1">
      <alignment horizontal="left" vertical="center"/>
    </xf>
    <xf numFmtId="0" fontId="1" fillId="0" borderId="57" xfId="482" applyBorder="1" applyAlignment="1">
      <alignment horizontal="center" vertical="center"/>
    </xf>
    <xf numFmtId="0" fontId="1" fillId="0" borderId="57" xfId="482" applyBorder="1" applyAlignment="1">
      <alignment horizontal="left" vertical="center"/>
    </xf>
    <xf numFmtId="0" fontId="1" fillId="0" borderId="0" xfId="482" applyAlignment="1">
      <alignment horizontal="right" vertical="center"/>
    </xf>
    <xf numFmtId="0" fontId="1" fillId="0" borderId="59" xfId="482" applyBorder="1" applyAlignment="1">
      <alignment horizontal="left" vertical="center"/>
    </xf>
    <xf numFmtId="210" fontId="1" fillId="0" borderId="47" xfId="455" applyNumberFormat="1" applyFont="1" applyBorder="1" applyAlignment="1">
      <alignment horizontal="center" vertical="center"/>
    </xf>
    <xf numFmtId="0" fontId="1" fillId="0" borderId="0" xfId="482" applyAlignment="1">
      <alignment horizontal="left" vertical="center"/>
    </xf>
    <xf numFmtId="210" fontId="1" fillId="0" borderId="47" xfId="455" applyNumberFormat="1" applyFont="1" applyBorder="1" applyAlignment="1">
      <alignment horizontal="center" vertical="center" wrapText="1"/>
    </xf>
    <xf numFmtId="1" fontId="90" fillId="0" borderId="53" xfId="455" applyNumberFormat="1" applyFont="1" applyBorder="1" applyAlignment="1">
      <alignment horizontal="center" vertical="center" wrapText="1"/>
    </xf>
    <xf numFmtId="0" fontId="1" fillId="0" borderId="0" xfId="482" applyAlignment="1">
      <alignment horizontal="left" vertical="center" wrapText="1"/>
    </xf>
    <xf numFmtId="210" fontId="1" fillId="0" borderId="48" xfId="455" applyNumberFormat="1" applyFont="1" applyBorder="1" applyAlignment="1">
      <alignment horizontal="center" vertical="center" wrapText="1"/>
    </xf>
    <xf numFmtId="0" fontId="1" fillId="0" borderId="0" xfId="482"/>
    <xf numFmtId="211" fontId="1" fillId="0" borderId="0" xfId="352" applyNumberFormat="1" applyFont="1" applyFill="1" applyBorder="1" applyAlignment="1" applyProtection="1">
      <alignment horizontal="center"/>
      <protection locked="0"/>
    </xf>
    <xf numFmtId="3" fontId="1" fillId="0" borderId="0" xfId="482" applyNumberFormat="1"/>
    <xf numFmtId="3" fontId="1" fillId="0" borderId="0" xfId="455" applyFont="1"/>
    <xf numFmtId="9" fontId="1" fillId="0" borderId="0" xfId="352" applyFont="1" applyFill="1" applyBorder="1" applyAlignment="1">
      <alignment horizontal="center"/>
    </xf>
    <xf numFmtId="3" fontId="1" fillId="0" borderId="0" xfId="455" applyFont="1" applyAlignment="1">
      <alignment wrapText="1"/>
    </xf>
    <xf numFmtId="3" fontId="1" fillId="0" borderId="47" xfId="455" applyFont="1" applyBorder="1" applyAlignment="1">
      <alignment wrapText="1"/>
    </xf>
    <xf numFmtId="1" fontId="90" fillId="0" borderId="0" xfId="455" applyNumberFormat="1" applyFont="1" applyAlignment="1">
      <alignment horizontal="center" vertical="center"/>
    </xf>
    <xf numFmtId="14" fontId="90" fillId="0" borderId="53" xfId="455" applyNumberFormat="1" applyFont="1" applyBorder="1" applyAlignment="1">
      <alignment horizontal="center" vertical="center"/>
    </xf>
    <xf numFmtId="0" fontId="86" fillId="0" borderId="0" xfId="482" applyFont="1" applyAlignment="1">
      <alignment horizontal="left" vertical="top" wrapText="1"/>
    </xf>
    <xf numFmtId="0" fontId="99" fillId="30" borderId="50" xfId="482" applyFont="1" applyFill="1" applyBorder="1" applyAlignment="1">
      <alignment horizontal="left" vertical="top"/>
    </xf>
    <xf numFmtId="0" fontId="99" fillId="30" borderId="51" xfId="482" applyFont="1" applyFill="1" applyBorder="1" applyAlignment="1">
      <alignment horizontal="left" vertical="top"/>
    </xf>
    <xf numFmtId="0" fontId="111" fillId="0" borderId="0" xfId="302" applyFont="1" applyAlignment="1">
      <alignment horizontal="left" vertical="top" wrapText="1"/>
    </xf>
    <xf numFmtId="0" fontId="86" fillId="0" borderId="0" xfId="480" applyFont="1" applyAlignment="1">
      <alignment horizontal="left" vertical="top" wrapText="1"/>
    </xf>
    <xf numFmtId="0" fontId="99" fillId="30" borderId="81" xfId="480" applyFont="1" applyFill="1" applyBorder="1" applyAlignment="1">
      <alignment horizontal="left" vertical="top"/>
    </xf>
    <xf numFmtId="0" fontId="99" fillId="30" borderId="0" xfId="480" applyFont="1" applyFill="1" applyAlignment="1">
      <alignment horizontal="left" vertical="top"/>
    </xf>
    <xf numFmtId="0" fontId="93" fillId="0" borderId="0" xfId="302" applyFont="1" applyAlignment="1">
      <alignment horizontal="left" vertical="center" wrapText="1"/>
    </xf>
    <xf numFmtId="0" fontId="100" fillId="30" borderId="50" xfId="302" applyFont="1" applyFill="1" applyBorder="1" applyAlignment="1">
      <alignment horizontal="left" vertical="top" wrapText="1"/>
    </xf>
    <xf numFmtId="0" fontId="100" fillId="30" borderId="51" xfId="302" applyFont="1" applyFill="1" applyBorder="1" applyAlignment="1">
      <alignment horizontal="left" vertical="top" wrapText="1"/>
    </xf>
    <xf numFmtId="3" fontId="95" fillId="0" borderId="0" xfId="0" applyFont="1" applyAlignment="1">
      <alignment horizontal="left" wrapText="1"/>
    </xf>
    <xf numFmtId="0" fontId="96" fillId="0" borderId="0" xfId="302" applyFont="1" applyAlignment="1">
      <alignment horizontal="left" wrapText="1"/>
    </xf>
    <xf numFmtId="49" fontId="93" fillId="0" borderId="0" xfId="302" applyNumberFormat="1" applyFont="1" applyAlignment="1">
      <alignment horizontal="left" vertical="center" wrapText="1"/>
    </xf>
    <xf numFmtId="0" fontId="93" fillId="0" borderId="0" xfId="302" applyFont="1" applyAlignment="1">
      <alignment horizontal="left" vertical="top" wrapText="1"/>
    </xf>
    <xf numFmtId="14" fontId="26" fillId="0" borderId="0" xfId="0" applyNumberFormat="1" applyFont="1" applyAlignment="1">
      <alignment horizontal="left" vertical="center"/>
    </xf>
    <xf numFmtId="14" fontId="76" fillId="0" borderId="0" xfId="302" applyNumberFormat="1" applyFont="1" applyAlignment="1">
      <alignment horizontal="center"/>
    </xf>
    <xf numFmtId="0" fontId="16" fillId="0" borderId="0" xfId="302" applyFont="1" applyAlignment="1">
      <alignment horizontal="left"/>
    </xf>
  </cellXfs>
  <cellStyles count="483">
    <cellStyle name="#,##%" xfId="15" xr:uid="{00000000-0005-0000-0000-000000000000}"/>
    <cellStyle name="]" xfId="308" xr:uid="{00000000-0005-0000-0000-000001000000}"/>
    <cellStyle name="_   1.000" xfId="16" xr:uid="{00000000-0005-0000-0000-000002000000}"/>
    <cellStyle name="_   1.000  |" xfId="17" xr:uid="{00000000-0005-0000-0000-000003000000}"/>
    <cellStyle name="_   1.000  |_040831_DB_Portfolio_Prospekt_final" xfId="18" xr:uid="{00000000-0005-0000-0000-000004000000}"/>
    <cellStyle name="_   1.000  |_0503-GIF-Frankreich-Airbus" xfId="19" xr:uid="{00000000-0005-0000-0000-000005000000}"/>
    <cellStyle name="_   1.000  |_0503-GIF-Frankreich-Airbus1" xfId="20" xr:uid="{00000000-0005-0000-0000-000006000000}"/>
    <cellStyle name="_   1.000  |_Mappe1" xfId="21" xr:uid="{00000000-0005-0000-0000-000007000000}"/>
    <cellStyle name="_   1.000,00" xfId="22" xr:uid="{00000000-0005-0000-0000-000008000000}"/>
    <cellStyle name="_   1.000,00  |" xfId="23" xr:uid="{00000000-0005-0000-0000-000009000000}"/>
    <cellStyle name="_   1.000,00  |_040831_DB_Portfolio_Prospekt_final" xfId="24" xr:uid="{00000000-0005-0000-0000-00000A000000}"/>
    <cellStyle name="_   1.000,00  |_0503-GIF-Frankreich-Airbus" xfId="25" xr:uid="{00000000-0005-0000-0000-00000B000000}"/>
    <cellStyle name="_   1.000,00  |_0503-GIF-Frankreich-Airbus1" xfId="26" xr:uid="{00000000-0005-0000-0000-00000C000000}"/>
    <cellStyle name="_   1.000,00  |_Mappe1" xfId="27" xr:uid="{00000000-0005-0000-0000-00000D000000}"/>
    <cellStyle name="_   1.000,00_040831_DB_Portfolio_Prospekt_final" xfId="28" xr:uid="{00000000-0005-0000-0000-00000E000000}"/>
    <cellStyle name="_   1.000,00_0503-GIF-Frankreich-Airbus" xfId="29" xr:uid="{00000000-0005-0000-0000-00000F000000}"/>
    <cellStyle name="_   1.000,00_0503-GIF-Frankreich-Airbus1" xfId="30" xr:uid="{00000000-0005-0000-0000-000010000000}"/>
    <cellStyle name="_   1.000,00_Mappe1" xfId="31" xr:uid="{00000000-0005-0000-0000-000011000000}"/>
    <cellStyle name="_   1.000_040831_DB_Portfolio_Prospekt_final" xfId="32" xr:uid="{00000000-0005-0000-0000-000012000000}"/>
    <cellStyle name="_   1.000_0503-GIF-Frankreich-Airbus" xfId="33" xr:uid="{00000000-0005-0000-0000-000013000000}"/>
    <cellStyle name="_   1.000_0503-GIF-Frankreich-Airbus1" xfId="34" xr:uid="{00000000-0005-0000-0000-000014000000}"/>
    <cellStyle name="_   1.000_Mappe1" xfId="35" xr:uid="{00000000-0005-0000-0000-000015000000}"/>
    <cellStyle name="_./.      0,00" xfId="36" xr:uid="{00000000-0005-0000-0000-000016000000}"/>
    <cellStyle name="_./.      0,00  |" xfId="37" xr:uid="{00000000-0005-0000-0000-000017000000}"/>
    <cellStyle name="_./. 0,00" xfId="38" xr:uid="{00000000-0005-0000-0000-000018000000}"/>
    <cellStyle name="_./. 0,00  |" xfId="39" xr:uid="{00000000-0005-0000-0000-000019000000}"/>
    <cellStyle name="_./. 0,00_040831_DB_Portfolio_Prospekt_final" xfId="40" xr:uid="{00000000-0005-0000-0000-00001A000000}"/>
    <cellStyle name="_./. 0,00_0503-GIF-Frankreich-Airbus" xfId="41" xr:uid="{00000000-0005-0000-0000-00001B000000}"/>
    <cellStyle name="_./. 0,00_0503-GIF-Frankreich-Airbus1" xfId="42" xr:uid="{00000000-0005-0000-0000-00001C000000}"/>
    <cellStyle name="_./. 0,00_Mappe1" xfId="43" xr:uid="{00000000-0005-0000-0000-00001D000000}"/>
    <cellStyle name="_./. DM     0" xfId="44" xr:uid="{00000000-0005-0000-0000-00001E000000}"/>
    <cellStyle name="_./. DM     0  |" xfId="45" xr:uid="{00000000-0005-0000-0000-00001F000000}"/>
    <cellStyle name="_./. DM     0,00" xfId="46" xr:uid="{00000000-0005-0000-0000-000020000000}"/>
    <cellStyle name="_./. DM     0,00  |" xfId="47" xr:uid="{00000000-0005-0000-0000-000021000000}"/>
    <cellStyle name="_Column1" xfId="48" xr:uid="{00000000-0005-0000-0000-000022000000}"/>
    <cellStyle name="_Column1_040831_DB_Portfolio_Prospekt_final" xfId="49" xr:uid="{00000000-0005-0000-0000-000023000000}"/>
    <cellStyle name="_Column1_0503-GIF-Frankreich-Airbus" xfId="50" xr:uid="{00000000-0005-0000-0000-000024000000}"/>
    <cellStyle name="_Column1_0503-GIF-Frankreich-Airbus1" xfId="51" xr:uid="{00000000-0005-0000-0000-000025000000}"/>
    <cellStyle name="_Column1_Mappe1" xfId="52" xr:uid="{00000000-0005-0000-0000-000026000000}"/>
    <cellStyle name="_Column2" xfId="53" xr:uid="{00000000-0005-0000-0000-000027000000}"/>
    <cellStyle name="_Column2_040831_DB_Portfolio_Prospekt_final" xfId="54" xr:uid="{00000000-0005-0000-0000-000028000000}"/>
    <cellStyle name="_Column2_0503-GIF-Frankreich-Airbus" xfId="55" xr:uid="{00000000-0005-0000-0000-000029000000}"/>
    <cellStyle name="_Column2_0503-GIF-Frankreich-Airbus 2" xfId="361" xr:uid="{00000000-0005-0000-0000-00002A000000}"/>
    <cellStyle name="_Column2_0503-GIF-Frankreich-Airbus1" xfId="56" xr:uid="{00000000-0005-0000-0000-00002B000000}"/>
    <cellStyle name="_Column2_0503-GIF-Frankreich-Airbus1 2" xfId="362" xr:uid="{00000000-0005-0000-0000-00002C000000}"/>
    <cellStyle name="_Column2_Mappe1" xfId="57" xr:uid="{00000000-0005-0000-0000-00002D000000}"/>
    <cellStyle name="_Column2_Mappe1 2" xfId="363" xr:uid="{00000000-0005-0000-0000-00002E000000}"/>
    <cellStyle name="_Column3" xfId="58" xr:uid="{00000000-0005-0000-0000-00002F000000}"/>
    <cellStyle name="_Column3_040831_DB_Portfolio_Prospekt_final" xfId="59" xr:uid="{00000000-0005-0000-0000-000030000000}"/>
    <cellStyle name="_Column3_0503-GIF-Frankreich-Airbus" xfId="60" xr:uid="{00000000-0005-0000-0000-000031000000}"/>
    <cellStyle name="_Column3_0503-GIF-Frankreich-Airbus 2" xfId="364" xr:uid="{00000000-0005-0000-0000-000032000000}"/>
    <cellStyle name="_Column3_0503-GIF-Frankreich-Airbus1" xfId="61" xr:uid="{00000000-0005-0000-0000-000033000000}"/>
    <cellStyle name="_Column3_0503-GIF-Frankreich-Airbus1 2" xfId="365" xr:uid="{00000000-0005-0000-0000-000034000000}"/>
    <cellStyle name="_Column3_Mappe1" xfId="62" xr:uid="{00000000-0005-0000-0000-000035000000}"/>
    <cellStyle name="_Column3_Mappe1 2" xfId="366" xr:uid="{00000000-0005-0000-0000-000036000000}"/>
    <cellStyle name="_Column4" xfId="63" xr:uid="{00000000-0005-0000-0000-000037000000}"/>
    <cellStyle name="_Column4 2" xfId="367" xr:uid="{00000000-0005-0000-0000-000038000000}"/>
    <cellStyle name="_Column4_040831_DB_Portfolio_Prospekt_final" xfId="64" xr:uid="{00000000-0005-0000-0000-000039000000}"/>
    <cellStyle name="_Column4_040831_DB_Portfolio_Prospekt_final 2" xfId="368" xr:uid="{00000000-0005-0000-0000-00003A000000}"/>
    <cellStyle name="_Column4_0503-GIF-Frankreich-Airbus" xfId="65" xr:uid="{00000000-0005-0000-0000-00003B000000}"/>
    <cellStyle name="_Column4_0503-GIF-Frankreich-Airbus_070709_BAUMGART_Gesamtprojekt Bayernfonds BestEnergy1" xfId="66" xr:uid="{00000000-0005-0000-0000-00003C000000}"/>
    <cellStyle name="_Column4_0503-GIF-Frankreich-Airbus_070709_BAUMGART_Gesamtprojekt Bayernfonds BestEnergy1 2" xfId="369" xr:uid="{00000000-0005-0000-0000-00003D000000}"/>
    <cellStyle name="_Column4_0503-GIF-Frankreich-Airbus_080115_Gesamtprojekt Bayernfonds BestEnergy1" xfId="67" xr:uid="{00000000-0005-0000-0000-00003E000000}"/>
    <cellStyle name="_Column4_0503-GIF-Frankreich-Airbus_080115_Gesamtprojekt Bayernfonds BestEnergy1 2" xfId="370" xr:uid="{00000000-0005-0000-0000-00003F000000}"/>
    <cellStyle name="_Column4_0503-GIF-Frankreich-Airbus_080131_Gesamtprojekt Bayernfonds BestEnergy1" xfId="68" xr:uid="{00000000-0005-0000-0000-000040000000}"/>
    <cellStyle name="_Column4_0503-GIF-Frankreich-Airbus_080131_Gesamtprojekt Bayernfonds BestEnergy1 2" xfId="371" xr:uid="{00000000-0005-0000-0000-000041000000}"/>
    <cellStyle name="_Column4_0503-GIF-Frankreich-Airbus_080214_Gesamtprojekt Bayernfonds BestEnergy1" xfId="69" xr:uid="{00000000-0005-0000-0000-000042000000}"/>
    <cellStyle name="_Column4_0503-GIF-Frankreich-Airbus_080214_Gesamtprojekt Bayernfonds BestEnergy1 2" xfId="372" xr:uid="{00000000-0005-0000-0000-000043000000}"/>
    <cellStyle name="_Column4_0503-GIF-Frankreich-Airbus_080425_Gesamtprojekt Bayernfonds BestEnergy1_EVU_alle6Standorte_79MWh" xfId="70" xr:uid="{00000000-0005-0000-0000-000044000000}"/>
    <cellStyle name="_Column4_0503-GIF-Frankreich-Airbus_080425_Gesamtprojekt Bayernfonds BestEnergy1_EVU_alle6Standorte_79MWh 2" xfId="373" xr:uid="{00000000-0005-0000-0000-000045000000}"/>
    <cellStyle name="_Column4_0503-GIF-Frankreich-Airbus_Auszahlungsplan (3)" xfId="71" xr:uid="{00000000-0005-0000-0000-000046000000}"/>
    <cellStyle name="_Column4_0503-GIF-Frankreich-Airbus_Auszahlungsplan (3) 2" xfId="374" xr:uid="{00000000-0005-0000-0000-000047000000}"/>
    <cellStyle name="_Column4_0503-GIF-Frankreich-Airbus_Auszahlungsplan (4)" xfId="72" xr:uid="{00000000-0005-0000-0000-000048000000}"/>
    <cellStyle name="_Column4_0503-GIF-Frankreich-Airbus_Auszahlungsplan (4) 2" xfId="375" xr:uid="{00000000-0005-0000-0000-000049000000}"/>
    <cellStyle name="_Column4_0503-GIF-Frankreich-Airbus_Auszahlungsplan ProLignis_1" xfId="73" xr:uid="{00000000-0005-0000-0000-00004A000000}"/>
    <cellStyle name="_Column4_0503-GIF-Frankreich-Airbus_Auszahlungsplan ProLignis_1 2" xfId="376" xr:uid="{00000000-0005-0000-0000-00004B000000}"/>
    <cellStyle name="_Column4_0503-GIF-Frankreich-Airbus_BAUMGART_Gesamtprojekt Bayernfonds BestEnergy1" xfId="74" xr:uid="{00000000-0005-0000-0000-00004C000000}"/>
    <cellStyle name="_Column4_0503-GIF-Frankreich-Airbus_BAUMGART_Gesamtprojekt Bayernfonds BestEnergy1 2" xfId="377" xr:uid="{00000000-0005-0000-0000-00004D000000}"/>
    <cellStyle name="_Column4_0503-GIF-Frankreich-Airbus_Finanzierung" xfId="75" xr:uid="{00000000-0005-0000-0000-00004E000000}"/>
    <cellStyle name="_Column4_0503-GIF-Frankreich-Airbus_Finanzierung 2" xfId="378" xr:uid="{00000000-0005-0000-0000-00004F000000}"/>
    <cellStyle name="_Column4_0503-GIF-Frankreich-Airbus_Holzvesorgungsszenario" xfId="76" xr:uid="{00000000-0005-0000-0000-000050000000}"/>
    <cellStyle name="_Column4_0503-GIF-Frankreich-Airbus_Holzvesorgungsszenario 2" xfId="379" xr:uid="{00000000-0005-0000-0000-000051000000}"/>
    <cellStyle name="_Column4_0503-GIF-Frankreich-Airbus_Mappe1" xfId="77" xr:uid="{00000000-0005-0000-0000-000052000000}"/>
    <cellStyle name="_Column4_0503-GIF-Frankreich-Airbus_Mappe1 2" xfId="380" xr:uid="{00000000-0005-0000-0000-000053000000}"/>
    <cellStyle name="_Column4_0503-GIF-Frankreich-Airbus_Mappe10" xfId="78" xr:uid="{00000000-0005-0000-0000-000054000000}"/>
    <cellStyle name="_Column4_0503-GIF-Frankreich-Airbus_Mappe10 2" xfId="381" xr:uid="{00000000-0005-0000-0000-000055000000}"/>
    <cellStyle name="_Column4_0503-GIF-Frankreich-Airbus_Mappe11" xfId="79" xr:uid="{00000000-0005-0000-0000-000056000000}"/>
    <cellStyle name="_Column4_0503-GIF-Frankreich-Airbus_Mappe11 2" xfId="382" xr:uid="{00000000-0005-0000-0000-000057000000}"/>
    <cellStyle name="_Column4_0503-GIF-Frankreich-Airbus_Mappe12" xfId="80" xr:uid="{00000000-0005-0000-0000-000058000000}"/>
    <cellStyle name="_Column4_0503-GIF-Frankreich-Airbus_Mappe12 2" xfId="383" xr:uid="{00000000-0005-0000-0000-000059000000}"/>
    <cellStyle name="_Column4_0503-GIF-Frankreich-Airbus_Mappe13" xfId="81" xr:uid="{00000000-0005-0000-0000-00005A000000}"/>
    <cellStyle name="_Column4_0503-GIF-Frankreich-Airbus_Mappe13 2" xfId="384" xr:uid="{00000000-0005-0000-0000-00005B000000}"/>
    <cellStyle name="_Column4_0503-GIF-Frankreich-Airbus_Mappe2" xfId="82" xr:uid="{00000000-0005-0000-0000-00005C000000}"/>
    <cellStyle name="_Column4_0503-GIF-Frankreich-Airbus_Mappe2 2" xfId="385" xr:uid="{00000000-0005-0000-0000-00005D000000}"/>
    <cellStyle name="_Column4_0503-GIF-Frankreich-Airbus_Mappe6" xfId="83" xr:uid="{00000000-0005-0000-0000-00005E000000}"/>
    <cellStyle name="_Column4_0503-GIF-Frankreich-Airbus_Mappe6 2" xfId="386" xr:uid="{00000000-0005-0000-0000-00005F000000}"/>
    <cellStyle name="_Column4_0503-GIF-Frankreich-Airbus1" xfId="84" xr:uid="{00000000-0005-0000-0000-000060000000}"/>
    <cellStyle name="_Column4_0503-GIF-Frankreich-Airbus1_070709_BAUMGART_Gesamtprojekt Bayernfonds BestEnergy1" xfId="85" xr:uid="{00000000-0005-0000-0000-000061000000}"/>
    <cellStyle name="_Column4_0503-GIF-Frankreich-Airbus1_070709_BAUMGART_Gesamtprojekt Bayernfonds BestEnergy1 2" xfId="387" xr:uid="{00000000-0005-0000-0000-000062000000}"/>
    <cellStyle name="_Column4_0503-GIF-Frankreich-Airbus1_080115_Gesamtprojekt Bayernfonds BestEnergy1" xfId="86" xr:uid="{00000000-0005-0000-0000-000063000000}"/>
    <cellStyle name="_Column4_0503-GIF-Frankreich-Airbus1_080115_Gesamtprojekt Bayernfonds BestEnergy1 2" xfId="388" xr:uid="{00000000-0005-0000-0000-000064000000}"/>
    <cellStyle name="_Column4_0503-GIF-Frankreich-Airbus1_080131_Gesamtprojekt Bayernfonds BestEnergy1" xfId="87" xr:uid="{00000000-0005-0000-0000-000065000000}"/>
    <cellStyle name="_Column4_0503-GIF-Frankreich-Airbus1_080131_Gesamtprojekt Bayernfonds BestEnergy1 2" xfId="389" xr:uid="{00000000-0005-0000-0000-000066000000}"/>
    <cellStyle name="_Column4_0503-GIF-Frankreich-Airbus1_080214_Gesamtprojekt Bayernfonds BestEnergy1" xfId="88" xr:uid="{00000000-0005-0000-0000-000067000000}"/>
    <cellStyle name="_Column4_0503-GIF-Frankreich-Airbus1_080214_Gesamtprojekt Bayernfonds BestEnergy1 2" xfId="390" xr:uid="{00000000-0005-0000-0000-000068000000}"/>
    <cellStyle name="_Column4_0503-GIF-Frankreich-Airbus1_080425_Gesamtprojekt Bayernfonds BestEnergy1_EVU_alle6Standorte_79MWh" xfId="89" xr:uid="{00000000-0005-0000-0000-000069000000}"/>
    <cellStyle name="_Column4_0503-GIF-Frankreich-Airbus1_080425_Gesamtprojekt Bayernfonds BestEnergy1_EVU_alle6Standorte_79MWh 2" xfId="391" xr:uid="{00000000-0005-0000-0000-00006A000000}"/>
    <cellStyle name="_Column4_0503-GIF-Frankreich-Airbus1_Auszahlungsplan (3)" xfId="90" xr:uid="{00000000-0005-0000-0000-00006B000000}"/>
    <cellStyle name="_Column4_0503-GIF-Frankreich-Airbus1_Auszahlungsplan (3) 2" xfId="392" xr:uid="{00000000-0005-0000-0000-00006C000000}"/>
    <cellStyle name="_Column4_0503-GIF-Frankreich-Airbus1_Auszahlungsplan (4)" xfId="91" xr:uid="{00000000-0005-0000-0000-00006D000000}"/>
    <cellStyle name="_Column4_0503-GIF-Frankreich-Airbus1_Auszahlungsplan (4) 2" xfId="393" xr:uid="{00000000-0005-0000-0000-00006E000000}"/>
    <cellStyle name="_Column4_0503-GIF-Frankreich-Airbus1_Auszahlungsplan ProLignis_1" xfId="92" xr:uid="{00000000-0005-0000-0000-00006F000000}"/>
    <cellStyle name="_Column4_0503-GIF-Frankreich-Airbus1_Auszahlungsplan ProLignis_1 2" xfId="394" xr:uid="{00000000-0005-0000-0000-000070000000}"/>
    <cellStyle name="_Column4_0503-GIF-Frankreich-Airbus1_BAUMGART_Gesamtprojekt Bayernfonds BestEnergy1" xfId="93" xr:uid="{00000000-0005-0000-0000-000071000000}"/>
    <cellStyle name="_Column4_0503-GIF-Frankreich-Airbus1_BAUMGART_Gesamtprojekt Bayernfonds BestEnergy1 2" xfId="395" xr:uid="{00000000-0005-0000-0000-000072000000}"/>
    <cellStyle name="_Column4_0503-GIF-Frankreich-Airbus1_Finanzierung" xfId="94" xr:uid="{00000000-0005-0000-0000-000073000000}"/>
    <cellStyle name="_Column4_0503-GIF-Frankreich-Airbus1_Finanzierung 2" xfId="396" xr:uid="{00000000-0005-0000-0000-000074000000}"/>
    <cellStyle name="_Column4_0503-GIF-Frankreich-Airbus1_Holzvesorgungsszenario" xfId="95" xr:uid="{00000000-0005-0000-0000-000075000000}"/>
    <cellStyle name="_Column4_0503-GIF-Frankreich-Airbus1_Holzvesorgungsszenario 2" xfId="397" xr:uid="{00000000-0005-0000-0000-000076000000}"/>
    <cellStyle name="_Column4_0503-GIF-Frankreich-Airbus1_Mappe1" xfId="96" xr:uid="{00000000-0005-0000-0000-000077000000}"/>
    <cellStyle name="_Column4_0503-GIF-Frankreich-Airbus1_Mappe1 2" xfId="398" xr:uid="{00000000-0005-0000-0000-000078000000}"/>
    <cellStyle name="_Column4_0503-GIF-Frankreich-Airbus1_Mappe10" xfId="97" xr:uid="{00000000-0005-0000-0000-000079000000}"/>
    <cellStyle name="_Column4_0503-GIF-Frankreich-Airbus1_Mappe10 2" xfId="399" xr:uid="{00000000-0005-0000-0000-00007A000000}"/>
    <cellStyle name="_Column4_0503-GIF-Frankreich-Airbus1_Mappe11" xfId="98" xr:uid="{00000000-0005-0000-0000-00007B000000}"/>
    <cellStyle name="_Column4_0503-GIF-Frankreich-Airbus1_Mappe11 2" xfId="400" xr:uid="{00000000-0005-0000-0000-00007C000000}"/>
    <cellStyle name="_Column4_0503-GIF-Frankreich-Airbus1_Mappe12" xfId="99" xr:uid="{00000000-0005-0000-0000-00007D000000}"/>
    <cellStyle name="_Column4_0503-GIF-Frankreich-Airbus1_Mappe12 2" xfId="401" xr:uid="{00000000-0005-0000-0000-00007E000000}"/>
    <cellStyle name="_Column4_0503-GIF-Frankreich-Airbus1_Mappe13" xfId="100" xr:uid="{00000000-0005-0000-0000-00007F000000}"/>
    <cellStyle name="_Column4_0503-GIF-Frankreich-Airbus1_Mappe13 2" xfId="402" xr:uid="{00000000-0005-0000-0000-000080000000}"/>
    <cellStyle name="_Column4_0503-GIF-Frankreich-Airbus1_Mappe2" xfId="101" xr:uid="{00000000-0005-0000-0000-000081000000}"/>
    <cellStyle name="_Column4_0503-GIF-Frankreich-Airbus1_Mappe2 2" xfId="403" xr:uid="{00000000-0005-0000-0000-000082000000}"/>
    <cellStyle name="_Column4_0503-GIF-Frankreich-Airbus1_Mappe6" xfId="102" xr:uid="{00000000-0005-0000-0000-000083000000}"/>
    <cellStyle name="_Column4_0503-GIF-Frankreich-Airbus1_Mappe6 2" xfId="404" xr:uid="{00000000-0005-0000-0000-000084000000}"/>
    <cellStyle name="_Column4_Mappe1" xfId="103" xr:uid="{00000000-0005-0000-0000-000085000000}"/>
    <cellStyle name="_Column4_Mappe1_070709_BAUMGART_Gesamtprojekt Bayernfonds BestEnergy1" xfId="104" xr:uid="{00000000-0005-0000-0000-000086000000}"/>
    <cellStyle name="_Column4_Mappe1_070709_BAUMGART_Gesamtprojekt Bayernfonds BestEnergy1 2" xfId="405" xr:uid="{00000000-0005-0000-0000-000087000000}"/>
    <cellStyle name="_Column4_Mappe1_080115_Gesamtprojekt Bayernfonds BestEnergy1" xfId="105" xr:uid="{00000000-0005-0000-0000-000088000000}"/>
    <cellStyle name="_Column4_Mappe1_080115_Gesamtprojekt Bayernfonds BestEnergy1 2" xfId="406" xr:uid="{00000000-0005-0000-0000-000089000000}"/>
    <cellStyle name="_Column4_Mappe1_080131_Gesamtprojekt Bayernfonds BestEnergy1" xfId="106" xr:uid="{00000000-0005-0000-0000-00008A000000}"/>
    <cellStyle name="_Column4_Mappe1_080131_Gesamtprojekt Bayernfonds BestEnergy1 2" xfId="407" xr:uid="{00000000-0005-0000-0000-00008B000000}"/>
    <cellStyle name="_Column4_Mappe1_080214_Gesamtprojekt Bayernfonds BestEnergy1" xfId="107" xr:uid="{00000000-0005-0000-0000-00008C000000}"/>
    <cellStyle name="_Column4_Mappe1_080214_Gesamtprojekt Bayernfonds BestEnergy1 2" xfId="408" xr:uid="{00000000-0005-0000-0000-00008D000000}"/>
    <cellStyle name="_Column4_Mappe1_080425_Gesamtprojekt Bayernfonds BestEnergy1_EVU_alle6Standorte_79MWh" xfId="108" xr:uid="{00000000-0005-0000-0000-00008E000000}"/>
    <cellStyle name="_Column4_Mappe1_080425_Gesamtprojekt Bayernfonds BestEnergy1_EVU_alle6Standorte_79MWh 2" xfId="409" xr:uid="{00000000-0005-0000-0000-00008F000000}"/>
    <cellStyle name="_Column4_Mappe1_Auszahlungsplan (3)" xfId="109" xr:uid="{00000000-0005-0000-0000-000090000000}"/>
    <cellStyle name="_Column4_Mappe1_Auszahlungsplan (3) 2" xfId="410" xr:uid="{00000000-0005-0000-0000-000091000000}"/>
    <cellStyle name="_Column4_Mappe1_Auszahlungsplan (4)" xfId="110" xr:uid="{00000000-0005-0000-0000-000092000000}"/>
    <cellStyle name="_Column4_Mappe1_Auszahlungsplan (4) 2" xfId="411" xr:uid="{00000000-0005-0000-0000-000093000000}"/>
    <cellStyle name="_Column4_Mappe1_Auszahlungsplan ProLignis_1" xfId="111" xr:uid="{00000000-0005-0000-0000-000094000000}"/>
    <cellStyle name="_Column4_Mappe1_Auszahlungsplan ProLignis_1 2" xfId="412" xr:uid="{00000000-0005-0000-0000-000095000000}"/>
    <cellStyle name="_Column4_Mappe1_BAUMGART_Gesamtprojekt Bayernfonds BestEnergy1" xfId="112" xr:uid="{00000000-0005-0000-0000-000096000000}"/>
    <cellStyle name="_Column4_Mappe1_BAUMGART_Gesamtprojekt Bayernfonds BestEnergy1 2" xfId="413" xr:uid="{00000000-0005-0000-0000-000097000000}"/>
    <cellStyle name="_Column4_Mappe1_Finanzierung" xfId="113" xr:uid="{00000000-0005-0000-0000-000098000000}"/>
    <cellStyle name="_Column4_Mappe1_Finanzierung 2" xfId="414" xr:uid="{00000000-0005-0000-0000-000099000000}"/>
    <cellStyle name="_Column4_Mappe1_Holzvesorgungsszenario" xfId="114" xr:uid="{00000000-0005-0000-0000-00009A000000}"/>
    <cellStyle name="_Column4_Mappe1_Holzvesorgungsszenario 2" xfId="415" xr:uid="{00000000-0005-0000-0000-00009B000000}"/>
    <cellStyle name="_Column4_Mappe1_Mappe1" xfId="115" xr:uid="{00000000-0005-0000-0000-00009C000000}"/>
    <cellStyle name="_Column4_Mappe1_Mappe1 2" xfId="416" xr:uid="{00000000-0005-0000-0000-00009D000000}"/>
    <cellStyle name="_Column4_Mappe1_Mappe10" xfId="116" xr:uid="{00000000-0005-0000-0000-00009E000000}"/>
    <cellStyle name="_Column4_Mappe1_Mappe10 2" xfId="417" xr:uid="{00000000-0005-0000-0000-00009F000000}"/>
    <cellStyle name="_Column4_Mappe1_Mappe11" xfId="117" xr:uid="{00000000-0005-0000-0000-0000A0000000}"/>
    <cellStyle name="_Column4_Mappe1_Mappe11 2" xfId="418" xr:uid="{00000000-0005-0000-0000-0000A1000000}"/>
    <cellStyle name="_Column4_Mappe1_Mappe12" xfId="118" xr:uid="{00000000-0005-0000-0000-0000A2000000}"/>
    <cellStyle name="_Column4_Mappe1_Mappe12 2" xfId="419" xr:uid="{00000000-0005-0000-0000-0000A3000000}"/>
    <cellStyle name="_Column4_Mappe1_Mappe13" xfId="119" xr:uid="{00000000-0005-0000-0000-0000A4000000}"/>
    <cellStyle name="_Column4_Mappe1_Mappe13 2" xfId="420" xr:uid="{00000000-0005-0000-0000-0000A5000000}"/>
    <cellStyle name="_Column4_Mappe1_Mappe2" xfId="120" xr:uid="{00000000-0005-0000-0000-0000A6000000}"/>
    <cellStyle name="_Column4_Mappe1_Mappe2 2" xfId="421" xr:uid="{00000000-0005-0000-0000-0000A7000000}"/>
    <cellStyle name="_Column4_Mappe1_Mappe6" xfId="121" xr:uid="{00000000-0005-0000-0000-0000A8000000}"/>
    <cellStyle name="_Column4_Mappe1_Mappe6 2" xfId="422" xr:uid="{00000000-0005-0000-0000-0000A9000000}"/>
    <cellStyle name="_Column5" xfId="122" xr:uid="{00000000-0005-0000-0000-0000AA000000}"/>
    <cellStyle name="_Column5_040831_DB_Portfolio_Prospekt_final" xfId="123" xr:uid="{00000000-0005-0000-0000-0000AB000000}"/>
    <cellStyle name="_Column5_0503-GIF-Frankreich-Airbus" xfId="124" xr:uid="{00000000-0005-0000-0000-0000AC000000}"/>
    <cellStyle name="_Column5_0503-GIF-Frankreich-Airbus1" xfId="125" xr:uid="{00000000-0005-0000-0000-0000AD000000}"/>
    <cellStyle name="_Column5_Mappe1" xfId="126" xr:uid="{00000000-0005-0000-0000-0000AE000000}"/>
    <cellStyle name="_Column6" xfId="127" xr:uid="{00000000-0005-0000-0000-0000AF000000}"/>
    <cellStyle name="_Column6_040831_DB_Portfolio_Prospekt_final" xfId="128" xr:uid="{00000000-0005-0000-0000-0000B0000000}"/>
    <cellStyle name="_Column6_0503-GIF-Frankreich-Airbus" xfId="129" xr:uid="{00000000-0005-0000-0000-0000B1000000}"/>
    <cellStyle name="_Column6_0503-GIF-Frankreich-Airbus1" xfId="130" xr:uid="{00000000-0005-0000-0000-0000B2000000}"/>
    <cellStyle name="_Column6_Mappe1" xfId="131" xr:uid="{00000000-0005-0000-0000-0000B3000000}"/>
    <cellStyle name="_Column7" xfId="132" xr:uid="{00000000-0005-0000-0000-0000B4000000}"/>
    <cellStyle name="_Column7_040831_DB_Portfolio_Prospekt_final" xfId="133" xr:uid="{00000000-0005-0000-0000-0000B5000000}"/>
    <cellStyle name="_Column7_0503-GIF-Frankreich-Airbus" xfId="134" xr:uid="{00000000-0005-0000-0000-0000B6000000}"/>
    <cellStyle name="_Column7_0503-GIF-Frankreich-Airbus1" xfId="135" xr:uid="{00000000-0005-0000-0000-0000B7000000}"/>
    <cellStyle name="_Column7_Mappe1" xfId="136" xr:uid="{00000000-0005-0000-0000-0000B8000000}"/>
    <cellStyle name="_Data" xfId="137" xr:uid="{00000000-0005-0000-0000-0000B9000000}"/>
    <cellStyle name="_Data_040831_DB_Portfolio_Prospekt_final" xfId="138" xr:uid="{00000000-0005-0000-0000-0000BA000000}"/>
    <cellStyle name="_Data_0503-GIF-Frankreich-Airbus" xfId="139" xr:uid="{00000000-0005-0000-0000-0000BB000000}"/>
    <cellStyle name="_Data_0503-GIF-Frankreich-Airbus1" xfId="140" xr:uid="{00000000-0005-0000-0000-0000BC000000}"/>
    <cellStyle name="_Data_Mappe1" xfId="141" xr:uid="{00000000-0005-0000-0000-0000BD000000}"/>
    <cellStyle name="_Header" xfId="142" xr:uid="{00000000-0005-0000-0000-0000BE000000}"/>
    <cellStyle name="_Header_040831_DB_Portfolio_Prospekt_final" xfId="143" xr:uid="{00000000-0005-0000-0000-0000BF000000}"/>
    <cellStyle name="_Header_0503-GIF-Frankreich-Airbus" xfId="144" xr:uid="{00000000-0005-0000-0000-0000C0000000}"/>
    <cellStyle name="_Header_0503-GIF-Frankreich-Airbus 2" xfId="423" xr:uid="{00000000-0005-0000-0000-0000C1000000}"/>
    <cellStyle name="_Header_0503-GIF-Frankreich-Airbus1" xfId="145" xr:uid="{00000000-0005-0000-0000-0000C2000000}"/>
    <cellStyle name="_Header_0503-GIF-Frankreich-Airbus1 2" xfId="424" xr:uid="{00000000-0005-0000-0000-0000C3000000}"/>
    <cellStyle name="_Header_Mappe1" xfId="146" xr:uid="{00000000-0005-0000-0000-0000C4000000}"/>
    <cellStyle name="_Header_Mappe1 2" xfId="425" xr:uid="{00000000-0005-0000-0000-0000C5000000}"/>
    <cellStyle name="_Row1" xfId="147" xr:uid="{00000000-0005-0000-0000-0000C6000000}"/>
    <cellStyle name="_Row1_040831_DB_Portfolio_Prospekt_final" xfId="148" xr:uid="{00000000-0005-0000-0000-0000C7000000}"/>
    <cellStyle name="_Row1_0503-GIF-Frankreich-Airbus" xfId="149" xr:uid="{00000000-0005-0000-0000-0000C8000000}"/>
    <cellStyle name="_Row1_0503-GIF-Frankreich-Airbus1" xfId="150" xr:uid="{00000000-0005-0000-0000-0000C9000000}"/>
    <cellStyle name="_Row1_Mappe1" xfId="151" xr:uid="{00000000-0005-0000-0000-0000CA000000}"/>
    <cellStyle name="_Row2" xfId="152" xr:uid="{00000000-0005-0000-0000-0000CB000000}"/>
    <cellStyle name="_Row2_040831_DB_Portfolio_Prospekt_final" xfId="153" xr:uid="{00000000-0005-0000-0000-0000CC000000}"/>
    <cellStyle name="_Row2_0503-GIF-Frankreich-Airbus" xfId="154" xr:uid="{00000000-0005-0000-0000-0000CD000000}"/>
    <cellStyle name="_Row2_0503-GIF-Frankreich-Airbus 2" xfId="426" xr:uid="{00000000-0005-0000-0000-0000CE000000}"/>
    <cellStyle name="_Row2_0503-GIF-Frankreich-Airbus1" xfId="155" xr:uid="{00000000-0005-0000-0000-0000CF000000}"/>
    <cellStyle name="_Row2_0503-GIF-Frankreich-Airbus1 2" xfId="427" xr:uid="{00000000-0005-0000-0000-0000D0000000}"/>
    <cellStyle name="_Row2_Mappe1" xfId="156" xr:uid="{00000000-0005-0000-0000-0000D1000000}"/>
    <cellStyle name="_Row2_Mappe1 2" xfId="428" xr:uid="{00000000-0005-0000-0000-0000D2000000}"/>
    <cellStyle name="_Row3" xfId="157" xr:uid="{00000000-0005-0000-0000-0000D3000000}"/>
    <cellStyle name="_Row3_040831_DB_Portfolio_Prospekt_final" xfId="158" xr:uid="{00000000-0005-0000-0000-0000D4000000}"/>
    <cellStyle name="_Row3_0503-GIF-Frankreich-Airbus" xfId="159" xr:uid="{00000000-0005-0000-0000-0000D5000000}"/>
    <cellStyle name="_Row3_0503-GIF-Frankreich-Airbus 2" xfId="429" xr:uid="{00000000-0005-0000-0000-0000D6000000}"/>
    <cellStyle name="_Row3_0503-GIF-Frankreich-Airbus1" xfId="160" xr:uid="{00000000-0005-0000-0000-0000D7000000}"/>
    <cellStyle name="_Row3_0503-GIF-Frankreich-Airbus1 2" xfId="430" xr:uid="{00000000-0005-0000-0000-0000D8000000}"/>
    <cellStyle name="_Row3_Mappe1" xfId="161" xr:uid="{00000000-0005-0000-0000-0000D9000000}"/>
    <cellStyle name="_Row3_Mappe1 2" xfId="431" xr:uid="{00000000-0005-0000-0000-0000DA000000}"/>
    <cellStyle name="_Row4" xfId="162" xr:uid="{00000000-0005-0000-0000-0000DB000000}"/>
    <cellStyle name="_Row4_040831_DB_Portfolio_Prospekt_final" xfId="163" xr:uid="{00000000-0005-0000-0000-0000DC000000}"/>
    <cellStyle name="_Row4_0503-GIF-Frankreich-Airbus" xfId="164" xr:uid="{00000000-0005-0000-0000-0000DD000000}"/>
    <cellStyle name="_Row4_0503-GIF-Frankreich-Airbus1" xfId="165" xr:uid="{00000000-0005-0000-0000-0000DE000000}"/>
    <cellStyle name="_Row4_Mappe1" xfId="166" xr:uid="{00000000-0005-0000-0000-0000DF000000}"/>
    <cellStyle name="_Row5" xfId="167" xr:uid="{00000000-0005-0000-0000-0000E0000000}"/>
    <cellStyle name="_Row5_040831_DB_Portfolio_Prospekt_final" xfId="168" xr:uid="{00000000-0005-0000-0000-0000E1000000}"/>
    <cellStyle name="_Row5_0503-GIF-Frankreich-Airbus" xfId="169" xr:uid="{00000000-0005-0000-0000-0000E2000000}"/>
    <cellStyle name="_Row5_0503-GIF-Frankreich-Airbus_070709_BAUMGART_Gesamtprojekt Bayernfonds BestEnergy1" xfId="170" xr:uid="{00000000-0005-0000-0000-0000E3000000}"/>
    <cellStyle name="_Row5_0503-GIF-Frankreich-Airbus_080115_Gesamtprojekt Bayernfonds BestEnergy1" xfId="171" xr:uid="{00000000-0005-0000-0000-0000E4000000}"/>
    <cellStyle name="_Row5_0503-GIF-Frankreich-Airbus_080131_Gesamtprojekt Bayernfonds BestEnergy1" xfId="172" xr:uid="{00000000-0005-0000-0000-0000E5000000}"/>
    <cellStyle name="_Row5_0503-GIF-Frankreich-Airbus_080214_Gesamtprojekt Bayernfonds BestEnergy1" xfId="173" xr:uid="{00000000-0005-0000-0000-0000E6000000}"/>
    <cellStyle name="_Row5_0503-GIF-Frankreich-Airbus_080425_Gesamtprojekt Bayernfonds BestEnergy1_EVU_alle6Standorte_79MWh" xfId="174" xr:uid="{00000000-0005-0000-0000-0000E7000000}"/>
    <cellStyle name="_Row5_0503-GIF-Frankreich-Airbus_Auszahlungsplan (3)" xfId="175" xr:uid="{00000000-0005-0000-0000-0000E8000000}"/>
    <cellStyle name="_Row5_0503-GIF-Frankreich-Airbus_Auszahlungsplan (4)" xfId="176" xr:uid="{00000000-0005-0000-0000-0000E9000000}"/>
    <cellStyle name="_Row5_0503-GIF-Frankreich-Airbus_Auszahlungsplan ProLignis_1" xfId="177" xr:uid="{00000000-0005-0000-0000-0000EA000000}"/>
    <cellStyle name="_Row5_0503-GIF-Frankreich-Airbus_BAUMGART_Gesamtprojekt Bayernfonds BestEnergy1" xfId="178" xr:uid="{00000000-0005-0000-0000-0000EB000000}"/>
    <cellStyle name="_Row5_0503-GIF-Frankreich-Airbus_Finanzierung" xfId="179" xr:uid="{00000000-0005-0000-0000-0000EC000000}"/>
    <cellStyle name="_Row5_0503-GIF-Frankreich-Airbus_Holzvesorgungsszenario" xfId="180" xr:uid="{00000000-0005-0000-0000-0000ED000000}"/>
    <cellStyle name="_Row5_0503-GIF-Frankreich-Airbus_Mappe1" xfId="181" xr:uid="{00000000-0005-0000-0000-0000EE000000}"/>
    <cellStyle name="_Row5_0503-GIF-Frankreich-Airbus_Mappe10" xfId="182" xr:uid="{00000000-0005-0000-0000-0000EF000000}"/>
    <cellStyle name="_Row5_0503-GIF-Frankreich-Airbus_Mappe11" xfId="183" xr:uid="{00000000-0005-0000-0000-0000F0000000}"/>
    <cellStyle name="_Row5_0503-GIF-Frankreich-Airbus_Mappe12" xfId="184" xr:uid="{00000000-0005-0000-0000-0000F1000000}"/>
    <cellStyle name="_Row5_0503-GIF-Frankreich-Airbus_Mappe13" xfId="185" xr:uid="{00000000-0005-0000-0000-0000F2000000}"/>
    <cellStyle name="_Row5_0503-GIF-Frankreich-Airbus_Mappe2" xfId="186" xr:uid="{00000000-0005-0000-0000-0000F3000000}"/>
    <cellStyle name="_Row5_0503-GIF-Frankreich-Airbus_Mappe6" xfId="187" xr:uid="{00000000-0005-0000-0000-0000F4000000}"/>
    <cellStyle name="_Row5_0503-GIF-Frankreich-Airbus1" xfId="188" xr:uid="{00000000-0005-0000-0000-0000F5000000}"/>
    <cellStyle name="_Row5_0503-GIF-Frankreich-Airbus1_070709_BAUMGART_Gesamtprojekt Bayernfonds BestEnergy1" xfId="189" xr:uid="{00000000-0005-0000-0000-0000F6000000}"/>
    <cellStyle name="_Row5_0503-GIF-Frankreich-Airbus1_080115_Gesamtprojekt Bayernfonds BestEnergy1" xfId="190" xr:uid="{00000000-0005-0000-0000-0000F7000000}"/>
    <cellStyle name="_Row5_0503-GIF-Frankreich-Airbus1_080131_Gesamtprojekt Bayernfonds BestEnergy1" xfId="191" xr:uid="{00000000-0005-0000-0000-0000F8000000}"/>
    <cellStyle name="_Row5_0503-GIF-Frankreich-Airbus1_080214_Gesamtprojekt Bayernfonds BestEnergy1" xfId="192" xr:uid="{00000000-0005-0000-0000-0000F9000000}"/>
    <cellStyle name="_Row5_0503-GIF-Frankreich-Airbus1_080425_Gesamtprojekt Bayernfonds BestEnergy1_EVU_alle6Standorte_79MWh" xfId="193" xr:uid="{00000000-0005-0000-0000-0000FA000000}"/>
    <cellStyle name="_Row5_0503-GIF-Frankreich-Airbus1_Auszahlungsplan (3)" xfId="194" xr:uid="{00000000-0005-0000-0000-0000FB000000}"/>
    <cellStyle name="_Row5_0503-GIF-Frankreich-Airbus1_Auszahlungsplan (4)" xfId="195" xr:uid="{00000000-0005-0000-0000-0000FC000000}"/>
    <cellStyle name="_Row5_0503-GIF-Frankreich-Airbus1_Auszahlungsplan ProLignis_1" xfId="196" xr:uid="{00000000-0005-0000-0000-0000FD000000}"/>
    <cellStyle name="_Row5_0503-GIF-Frankreich-Airbus1_BAUMGART_Gesamtprojekt Bayernfonds BestEnergy1" xfId="197" xr:uid="{00000000-0005-0000-0000-0000FE000000}"/>
    <cellStyle name="_Row5_0503-GIF-Frankreich-Airbus1_Finanzierung" xfId="198" xr:uid="{00000000-0005-0000-0000-0000FF000000}"/>
    <cellStyle name="_Row5_0503-GIF-Frankreich-Airbus1_Holzvesorgungsszenario" xfId="199" xr:uid="{00000000-0005-0000-0000-000000010000}"/>
    <cellStyle name="_Row5_0503-GIF-Frankreich-Airbus1_Mappe1" xfId="200" xr:uid="{00000000-0005-0000-0000-000001010000}"/>
    <cellStyle name="_Row5_0503-GIF-Frankreich-Airbus1_Mappe10" xfId="201" xr:uid="{00000000-0005-0000-0000-000002010000}"/>
    <cellStyle name="_Row5_0503-GIF-Frankreich-Airbus1_Mappe11" xfId="202" xr:uid="{00000000-0005-0000-0000-000003010000}"/>
    <cellStyle name="_Row5_0503-GIF-Frankreich-Airbus1_Mappe12" xfId="203" xr:uid="{00000000-0005-0000-0000-000004010000}"/>
    <cellStyle name="_Row5_0503-GIF-Frankreich-Airbus1_Mappe13" xfId="204" xr:uid="{00000000-0005-0000-0000-000005010000}"/>
    <cellStyle name="_Row5_0503-GIF-Frankreich-Airbus1_Mappe2" xfId="205" xr:uid="{00000000-0005-0000-0000-000006010000}"/>
    <cellStyle name="_Row5_0503-GIF-Frankreich-Airbus1_Mappe6" xfId="206" xr:uid="{00000000-0005-0000-0000-000007010000}"/>
    <cellStyle name="_Row5_Mappe1" xfId="207" xr:uid="{00000000-0005-0000-0000-000008010000}"/>
    <cellStyle name="_Row5_Mappe1_070709_BAUMGART_Gesamtprojekt Bayernfonds BestEnergy1" xfId="208" xr:uid="{00000000-0005-0000-0000-000009010000}"/>
    <cellStyle name="_Row5_Mappe1_080115_Gesamtprojekt Bayernfonds BestEnergy1" xfId="209" xr:uid="{00000000-0005-0000-0000-00000A010000}"/>
    <cellStyle name="_Row5_Mappe1_080131_Gesamtprojekt Bayernfonds BestEnergy1" xfId="210" xr:uid="{00000000-0005-0000-0000-00000B010000}"/>
    <cellStyle name="_Row5_Mappe1_080214_Gesamtprojekt Bayernfonds BestEnergy1" xfId="211" xr:uid="{00000000-0005-0000-0000-00000C010000}"/>
    <cellStyle name="_Row5_Mappe1_080425_Gesamtprojekt Bayernfonds BestEnergy1_EVU_alle6Standorte_79MWh" xfId="212" xr:uid="{00000000-0005-0000-0000-00000D010000}"/>
    <cellStyle name="_Row5_Mappe1_Auszahlungsplan (3)" xfId="213" xr:uid="{00000000-0005-0000-0000-00000E010000}"/>
    <cellStyle name="_Row5_Mappe1_Auszahlungsplan (4)" xfId="214" xr:uid="{00000000-0005-0000-0000-00000F010000}"/>
    <cellStyle name="_Row5_Mappe1_Auszahlungsplan ProLignis_1" xfId="215" xr:uid="{00000000-0005-0000-0000-000010010000}"/>
    <cellStyle name="_Row5_Mappe1_BAUMGART_Gesamtprojekt Bayernfonds BestEnergy1" xfId="216" xr:uid="{00000000-0005-0000-0000-000011010000}"/>
    <cellStyle name="_Row5_Mappe1_Finanzierung" xfId="217" xr:uid="{00000000-0005-0000-0000-000012010000}"/>
    <cellStyle name="_Row5_Mappe1_Holzvesorgungsszenario" xfId="218" xr:uid="{00000000-0005-0000-0000-000013010000}"/>
    <cellStyle name="_Row5_Mappe1_Mappe1" xfId="219" xr:uid="{00000000-0005-0000-0000-000014010000}"/>
    <cellStyle name="_Row5_Mappe1_Mappe10" xfId="220" xr:uid="{00000000-0005-0000-0000-000015010000}"/>
    <cellStyle name="_Row5_Mappe1_Mappe11" xfId="221" xr:uid="{00000000-0005-0000-0000-000016010000}"/>
    <cellStyle name="_Row5_Mappe1_Mappe12" xfId="222" xr:uid="{00000000-0005-0000-0000-000017010000}"/>
    <cellStyle name="_Row5_Mappe1_Mappe13" xfId="223" xr:uid="{00000000-0005-0000-0000-000018010000}"/>
    <cellStyle name="_Row5_Mappe1_Mappe2" xfId="224" xr:uid="{00000000-0005-0000-0000-000019010000}"/>
    <cellStyle name="_Row5_Mappe1_Mappe6" xfId="225" xr:uid="{00000000-0005-0000-0000-00001A010000}"/>
    <cellStyle name="_Row6" xfId="226" xr:uid="{00000000-0005-0000-0000-00001B010000}"/>
    <cellStyle name="_Row6_040831_DB_Portfolio_Prospekt_final" xfId="227" xr:uid="{00000000-0005-0000-0000-00001C010000}"/>
    <cellStyle name="_Row6_0503-GIF-Frankreich-Airbus" xfId="228" xr:uid="{00000000-0005-0000-0000-00001D010000}"/>
    <cellStyle name="_Row6_0503-GIF-Frankreich-Airbus_070709_BAUMGART_Gesamtprojekt Bayernfonds BestEnergy1" xfId="229" xr:uid="{00000000-0005-0000-0000-00001E010000}"/>
    <cellStyle name="_Row6_0503-GIF-Frankreich-Airbus_080115_Gesamtprojekt Bayernfonds BestEnergy1" xfId="230" xr:uid="{00000000-0005-0000-0000-00001F010000}"/>
    <cellStyle name="_Row6_0503-GIF-Frankreich-Airbus_080131_Gesamtprojekt Bayernfonds BestEnergy1" xfId="231" xr:uid="{00000000-0005-0000-0000-000020010000}"/>
    <cellStyle name="_Row6_0503-GIF-Frankreich-Airbus_080214_Gesamtprojekt Bayernfonds BestEnergy1" xfId="232" xr:uid="{00000000-0005-0000-0000-000021010000}"/>
    <cellStyle name="_Row6_0503-GIF-Frankreich-Airbus_080425_Gesamtprojekt Bayernfonds BestEnergy1_EVU_alle6Standorte_79MWh" xfId="233" xr:uid="{00000000-0005-0000-0000-000022010000}"/>
    <cellStyle name="_Row6_0503-GIF-Frankreich-Airbus_Auszahlungsplan (3)" xfId="234" xr:uid="{00000000-0005-0000-0000-000023010000}"/>
    <cellStyle name="_Row6_0503-GIF-Frankreich-Airbus_Auszahlungsplan (4)" xfId="235" xr:uid="{00000000-0005-0000-0000-000024010000}"/>
    <cellStyle name="_Row6_0503-GIF-Frankreich-Airbus_Auszahlungsplan ProLignis_1" xfId="236" xr:uid="{00000000-0005-0000-0000-000025010000}"/>
    <cellStyle name="_Row6_0503-GIF-Frankreich-Airbus_BAUMGART_Gesamtprojekt Bayernfonds BestEnergy1" xfId="237" xr:uid="{00000000-0005-0000-0000-000026010000}"/>
    <cellStyle name="_Row6_0503-GIF-Frankreich-Airbus_Finanzierung" xfId="238" xr:uid="{00000000-0005-0000-0000-000027010000}"/>
    <cellStyle name="_Row6_0503-GIF-Frankreich-Airbus_Holzvesorgungsszenario" xfId="239" xr:uid="{00000000-0005-0000-0000-000028010000}"/>
    <cellStyle name="_Row6_0503-GIF-Frankreich-Airbus_Mappe1" xfId="240" xr:uid="{00000000-0005-0000-0000-000029010000}"/>
    <cellStyle name="_Row6_0503-GIF-Frankreich-Airbus_Mappe10" xfId="241" xr:uid="{00000000-0005-0000-0000-00002A010000}"/>
    <cellStyle name="_Row6_0503-GIF-Frankreich-Airbus_Mappe11" xfId="242" xr:uid="{00000000-0005-0000-0000-00002B010000}"/>
    <cellStyle name="_Row6_0503-GIF-Frankreich-Airbus_Mappe12" xfId="243" xr:uid="{00000000-0005-0000-0000-00002C010000}"/>
    <cellStyle name="_Row6_0503-GIF-Frankreich-Airbus_Mappe13" xfId="244" xr:uid="{00000000-0005-0000-0000-00002D010000}"/>
    <cellStyle name="_Row6_0503-GIF-Frankreich-Airbus_Mappe2" xfId="245" xr:uid="{00000000-0005-0000-0000-00002E010000}"/>
    <cellStyle name="_Row6_0503-GIF-Frankreich-Airbus_Mappe6" xfId="246" xr:uid="{00000000-0005-0000-0000-00002F010000}"/>
    <cellStyle name="_Row6_0503-GIF-Frankreich-Airbus1" xfId="247" xr:uid="{00000000-0005-0000-0000-000030010000}"/>
    <cellStyle name="_Row6_0503-GIF-Frankreich-Airbus1_070709_BAUMGART_Gesamtprojekt Bayernfonds BestEnergy1" xfId="248" xr:uid="{00000000-0005-0000-0000-000031010000}"/>
    <cellStyle name="_Row6_0503-GIF-Frankreich-Airbus1_080115_Gesamtprojekt Bayernfonds BestEnergy1" xfId="249" xr:uid="{00000000-0005-0000-0000-000032010000}"/>
    <cellStyle name="_Row6_0503-GIF-Frankreich-Airbus1_080131_Gesamtprojekt Bayernfonds BestEnergy1" xfId="250" xr:uid="{00000000-0005-0000-0000-000033010000}"/>
    <cellStyle name="_Row6_0503-GIF-Frankreich-Airbus1_080214_Gesamtprojekt Bayernfonds BestEnergy1" xfId="251" xr:uid="{00000000-0005-0000-0000-000034010000}"/>
    <cellStyle name="_Row6_0503-GIF-Frankreich-Airbus1_080425_Gesamtprojekt Bayernfonds BestEnergy1_EVU_alle6Standorte_79MWh" xfId="252" xr:uid="{00000000-0005-0000-0000-000035010000}"/>
    <cellStyle name="_Row6_0503-GIF-Frankreich-Airbus1_Auszahlungsplan (3)" xfId="253" xr:uid="{00000000-0005-0000-0000-000036010000}"/>
    <cellStyle name="_Row6_0503-GIF-Frankreich-Airbus1_Auszahlungsplan (4)" xfId="254" xr:uid="{00000000-0005-0000-0000-000037010000}"/>
    <cellStyle name="_Row6_0503-GIF-Frankreich-Airbus1_Auszahlungsplan ProLignis_1" xfId="255" xr:uid="{00000000-0005-0000-0000-000038010000}"/>
    <cellStyle name="_Row6_0503-GIF-Frankreich-Airbus1_BAUMGART_Gesamtprojekt Bayernfonds BestEnergy1" xfId="256" xr:uid="{00000000-0005-0000-0000-000039010000}"/>
    <cellStyle name="_Row6_0503-GIF-Frankreich-Airbus1_Finanzierung" xfId="257" xr:uid="{00000000-0005-0000-0000-00003A010000}"/>
    <cellStyle name="_Row6_0503-GIF-Frankreich-Airbus1_Holzvesorgungsszenario" xfId="258" xr:uid="{00000000-0005-0000-0000-00003B010000}"/>
    <cellStyle name="_Row6_0503-GIF-Frankreich-Airbus1_Mappe1" xfId="259" xr:uid="{00000000-0005-0000-0000-00003C010000}"/>
    <cellStyle name="_Row6_0503-GIF-Frankreich-Airbus1_Mappe10" xfId="260" xr:uid="{00000000-0005-0000-0000-00003D010000}"/>
    <cellStyle name="_Row6_0503-GIF-Frankreich-Airbus1_Mappe11" xfId="261" xr:uid="{00000000-0005-0000-0000-00003E010000}"/>
    <cellStyle name="_Row6_0503-GIF-Frankreich-Airbus1_Mappe12" xfId="262" xr:uid="{00000000-0005-0000-0000-00003F010000}"/>
    <cellStyle name="_Row6_0503-GIF-Frankreich-Airbus1_Mappe13" xfId="263" xr:uid="{00000000-0005-0000-0000-000040010000}"/>
    <cellStyle name="_Row6_0503-GIF-Frankreich-Airbus1_Mappe2" xfId="264" xr:uid="{00000000-0005-0000-0000-000041010000}"/>
    <cellStyle name="_Row6_0503-GIF-Frankreich-Airbus1_Mappe6" xfId="265" xr:uid="{00000000-0005-0000-0000-000042010000}"/>
    <cellStyle name="_Row6_Mappe1" xfId="266" xr:uid="{00000000-0005-0000-0000-000043010000}"/>
    <cellStyle name="_Row6_Mappe1_070709_BAUMGART_Gesamtprojekt Bayernfonds BestEnergy1" xfId="267" xr:uid="{00000000-0005-0000-0000-000044010000}"/>
    <cellStyle name="_Row6_Mappe1_080115_Gesamtprojekt Bayernfonds BestEnergy1" xfId="268" xr:uid="{00000000-0005-0000-0000-000045010000}"/>
    <cellStyle name="_Row6_Mappe1_080131_Gesamtprojekt Bayernfonds BestEnergy1" xfId="269" xr:uid="{00000000-0005-0000-0000-000046010000}"/>
    <cellStyle name="_Row6_Mappe1_080214_Gesamtprojekt Bayernfonds BestEnergy1" xfId="270" xr:uid="{00000000-0005-0000-0000-000047010000}"/>
    <cellStyle name="_Row6_Mappe1_080425_Gesamtprojekt Bayernfonds BestEnergy1_EVU_alle6Standorte_79MWh" xfId="271" xr:uid="{00000000-0005-0000-0000-000048010000}"/>
    <cellStyle name="_Row6_Mappe1_Auszahlungsplan (3)" xfId="272" xr:uid="{00000000-0005-0000-0000-000049010000}"/>
    <cellStyle name="_Row6_Mappe1_Auszahlungsplan (4)" xfId="273" xr:uid="{00000000-0005-0000-0000-00004A010000}"/>
    <cellStyle name="_Row6_Mappe1_Auszahlungsplan ProLignis_1" xfId="274" xr:uid="{00000000-0005-0000-0000-00004B010000}"/>
    <cellStyle name="_Row6_Mappe1_BAUMGART_Gesamtprojekt Bayernfonds BestEnergy1" xfId="275" xr:uid="{00000000-0005-0000-0000-00004C010000}"/>
    <cellStyle name="_Row6_Mappe1_Finanzierung" xfId="276" xr:uid="{00000000-0005-0000-0000-00004D010000}"/>
    <cellStyle name="_Row6_Mappe1_Holzvesorgungsszenario" xfId="277" xr:uid="{00000000-0005-0000-0000-00004E010000}"/>
    <cellStyle name="_Row6_Mappe1_Mappe1" xfId="278" xr:uid="{00000000-0005-0000-0000-00004F010000}"/>
    <cellStyle name="_Row6_Mappe1_Mappe10" xfId="279" xr:uid="{00000000-0005-0000-0000-000050010000}"/>
    <cellStyle name="_Row6_Mappe1_Mappe11" xfId="280" xr:uid="{00000000-0005-0000-0000-000051010000}"/>
    <cellStyle name="_Row6_Mappe1_Mappe12" xfId="281" xr:uid="{00000000-0005-0000-0000-000052010000}"/>
    <cellStyle name="_Row6_Mappe1_Mappe13" xfId="282" xr:uid="{00000000-0005-0000-0000-000053010000}"/>
    <cellStyle name="_Row6_Mappe1_Mappe2" xfId="283" xr:uid="{00000000-0005-0000-0000-000054010000}"/>
    <cellStyle name="_Row6_Mappe1_Mappe6" xfId="284" xr:uid="{00000000-0005-0000-0000-000055010000}"/>
    <cellStyle name="_Row7" xfId="285" xr:uid="{00000000-0005-0000-0000-000056010000}"/>
    <cellStyle name="_Row7_040831_DB_Portfolio_Prospekt_final" xfId="286" xr:uid="{00000000-0005-0000-0000-000057010000}"/>
    <cellStyle name="_Row7_0503-GIF-Frankreich-Airbus" xfId="287" xr:uid="{00000000-0005-0000-0000-000058010000}"/>
    <cellStyle name="_Row7_0503-GIF-Frankreich-Airbus1" xfId="288" xr:uid="{00000000-0005-0000-0000-000059010000}"/>
    <cellStyle name="_Row7_Mappe1" xfId="289" xr:uid="{00000000-0005-0000-0000-00005A010000}"/>
    <cellStyle name="=C:\WINNT35\SYSTEM32\COMMAND.COM" xfId="309" xr:uid="{00000000-0005-0000-0000-00005B010000}"/>
    <cellStyle name="0 digits number" xfId="290" xr:uid="{00000000-0005-0000-0000-00005C010000}"/>
    <cellStyle name="1.000  | o.Min./Nul" xfId="291" xr:uid="{00000000-0005-0000-0000-00005D010000}"/>
    <cellStyle name="1.000 o.Min./Nul" xfId="292" xr:uid="{00000000-0005-0000-0000-00005E010000}"/>
    <cellStyle name="1.000,00  | o.Min./Nul" xfId="293" xr:uid="{00000000-0005-0000-0000-00005F010000}"/>
    <cellStyle name="1.000,00 o.Min./Nul" xfId="294" xr:uid="{00000000-0005-0000-0000-000060010000}"/>
    <cellStyle name="3 digits number" xfId="295" xr:uid="{00000000-0005-0000-0000-000061010000}"/>
    <cellStyle name="Assumption" xfId="310" xr:uid="{00000000-0005-0000-0000-000062010000}"/>
    <cellStyle name="assumption 1" xfId="344" xr:uid="{00000000-0005-0000-0000-000063010000}"/>
    <cellStyle name="Assumption Date" xfId="347" xr:uid="{00000000-0005-0000-0000-000064010000}"/>
    <cellStyle name="Case_Selector" xfId="348" xr:uid="{00000000-0005-0000-0000-000065010000}"/>
    <cellStyle name="Check" xfId="311" xr:uid="{00000000-0005-0000-0000-000066010000}"/>
    <cellStyle name="Comma0" xfId="343" xr:uid="{00000000-0005-0000-0000-000067010000}"/>
    <cellStyle name="Date" xfId="314" xr:uid="{00000000-0005-0000-0000-000068010000}"/>
    <cellStyle name="Datum TT.MM.JJ" xfId="296" xr:uid="{00000000-0005-0000-0000-000069010000}"/>
    <cellStyle name="Dezimal [0] 2" xfId="313" xr:uid="{00000000-0005-0000-0000-00006A010000}"/>
    <cellStyle name="Dezimal 2" xfId="1" xr:uid="{00000000-0005-0000-0000-00006B010000}"/>
    <cellStyle name="Dezimal 3" xfId="2" xr:uid="{00000000-0005-0000-0000-00006C010000}"/>
    <cellStyle name="Empty_Cell" xfId="315" xr:uid="{00000000-0005-0000-0000-00006D010000}"/>
    <cellStyle name="Error" xfId="316" xr:uid="{00000000-0005-0000-0000-00006E010000}"/>
    <cellStyle name="Euro" xfId="3" xr:uid="{00000000-0005-0000-0000-00006F010000}"/>
    <cellStyle name="External_links" xfId="345" xr:uid="{00000000-0005-0000-0000-000070010000}"/>
    <cellStyle name="Fixed" xfId="317" xr:uid="{00000000-0005-0000-0000-000071010000}"/>
    <cellStyle name="Flag" xfId="297" xr:uid="{00000000-0005-0000-0000-000072010000}"/>
    <cellStyle name="Flag 2" xfId="318" xr:uid="{00000000-0005-0000-0000-000073010000}"/>
    <cellStyle name="Grid" xfId="319" xr:uid="{00000000-0005-0000-0000-000074010000}"/>
    <cellStyle name="Header0" xfId="320" xr:uid="{00000000-0005-0000-0000-000075010000}"/>
    <cellStyle name="Header1" xfId="321" xr:uid="{00000000-0005-0000-0000-000076010000}"/>
    <cellStyle name="Header2" xfId="322" xr:uid="{00000000-0005-0000-0000-000077010000}"/>
    <cellStyle name="Header3" xfId="323" xr:uid="{00000000-0005-0000-0000-000078010000}"/>
    <cellStyle name="Heading_Chapter" xfId="324" xr:uid="{00000000-0005-0000-0000-000079010000}"/>
    <cellStyle name="Info" xfId="325" xr:uid="{00000000-0005-0000-0000-00007B010000}"/>
    <cellStyle name="Inputs_check" xfId="326" xr:uid="{00000000-0005-0000-0000-00007C010000}"/>
    <cellStyle name="InSheet" xfId="327" xr:uid="{00000000-0005-0000-0000-00007D010000}"/>
    <cellStyle name="Interface" xfId="328" xr:uid="{00000000-0005-0000-0000-00007E010000}"/>
    <cellStyle name="Komma" xfId="478" builtinId="3"/>
    <cellStyle name="Komma 2" xfId="312" xr:uid="{00000000-0005-0000-0000-00007F010000}"/>
    <cellStyle name="Komma 3" xfId="467" xr:uid="{00000000-0005-0000-0000-000080010000}"/>
    <cellStyle name="Komma 4" xfId="481" xr:uid="{CAB268D7-72DF-49AC-BA08-D3C6E2E224A9}"/>
    <cellStyle name="Line_ClosingBal" xfId="329" xr:uid="{00000000-0005-0000-0000-000081010000}"/>
    <cellStyle name="Link" xfId="479" builtinId="8"/>
    <cellStyle name="Link 2" xfId="475" xr:uid="{52CD4876-72BD-4BB8-8066-3A8F06BFF5A2}"/>
    <cellStyle name="Macro_Paste" xfId="330" xr:uid="{00000000-0005-0000-0000-000082010000}"/>
    <cellStyle name="Name_Input" xfId="331" xr:uid="{00000000-0005-0000-0000-000083010000}"/>
    <cellStyle name="Nc" xfId="332" xr:uid="{00000000-0005-0000-0000-000084010000}"/>
    <cellStyle name="new_sheet" xfId="298" xr:uid="{00000000-0005-0000-0000-000085010000}"/>
    <cellStyle name="Normal_download.asp?objectid=18424" xfId="4" xr:uid="{00000000-0005-0000-0000-000086010000}"/>
    <cellStyle name="OffSheet" xfId="333" xr:uid="{00000000-0005-0000-0000-000087010000}"/>
    <cellStyle name="Prozent" xfId="301" builtinId="5"/>
    <cellStyle name="Prozent 2" xfId="5" xr:uid="{00000000-0005-0000-0000-000089010000}"/>
    <cellStyle name="Prozent 3" xfId="6" xr:uid="{00000000-0005-0000-0000-00008A010000}"/>
    <cellStyle name="Prozent 3 2" xfId="352" xr:uid="{00000000-0005-0000-0000-00008B010000}"/>
    <cellStyle name="Prozent 3 3" xfId="357" xr:uid="{00000000-0005-0000-0000-00008C010000}"/>
    <cellStyle name="Prozent 4" xfId="303" xr:uid="{00000000-0005-0000-0000-00008D010000}"/>
    <cellStyle name="Prozent 4 2" xfId="353" xr:uid="{00000000-0005-0000-0000-00008E010000}"/>
    <cellStyle name="Prozent 4 2 2" xfId="440" xr:uid="{00000000-0005-0000-0000-00008F010000}"/>
    <cellStyle name="Prozent 4 2 2 2" xfId="464" xr:uid="{00000000-0005-0000-0000-000090010000}"/>
    <cellStyle name="Prozent 4 2 3" xfId="452" xr:uid="{00000000-0005-0000-0000-000091010000}"/>
    <cellStyle name="Prozent 4 3" xfId="435" xr:uid="{00000000-0005-0000-0000-000092010000}"/>
    <cellStyle name="Prozent 4 3 2" xfId="459" xr:uid="{00000000-0005-0000-0000-000093010000}"/>
    <cellStyle name="Prozent 4 4" xfId="447" xr:uid="{00000000-0005-0000-0000-000094010000}"/>
    <cellStyle name="Prozent 5" xfId="305" xr:uid="{00000000-0005-0000-0000-000095010000}"/>
    <cellStyle name="Prozent 5 2" xfId="437" xr:uid="{00000000-0005-0000-0000-000096010000}"/>
    <cellStyle name="Prozent 5 2 2" xfId="461" xr:uid="{00000000-0005-0000-0000-000097010000}"/>
    <cellStyle name="Prozent 5 3" xfId="449" xr:uid="{00000000-0005-0000-0000-000098010000}"/>
    <cellStyle name="Prozent 6" xfId="334" xr:uid="{00000000-0005-0000-0000-000099010000}"/>
    <cellStyle name="Prozent 7" xfId="350" xr:uid="{00000000-0005-0000-0000-00009A010000}"/>
    <cellStyle name="Prozent 7 2" xfId="439" xr:uid="{00000000-0005-0000-0000-00009B010000}"/>
    <cellStyle name="Prozent 7 2 2" xfId="463" xr:uid="{00000000-0005-0000-0000-00009C010000}"/>
    <cellStyle name="Prozent 7 3" xfId="451" xr:uid="{00000000-0005-0000-0000-00009D010000}"/>
    <cellStyle name="Prozent 8" xfId="433" xr:uid="{00000000-0005-0000-0000-00009E010000}"/>
    <cellStyle name="Prozent 9" xfId="469" xr:uid="{01FE9C3F-24D6-4E76-BD00-5DCC6333DE18}"/>
    <cellStyle name="Query" xfId="335" xr:uid="{00000000-0005-0000-0000-00009F010000}"/>
    <cellStyle name="Ratio" xfId="336" xr:uid="{00000000-0005-0000-0000-0000A0010000}"/>
    <cellStyle name="Section_Header" xfId="337" xr:uid="{00000000-0005-0000-0000-0000A1010000}"/>
    <cellStyle name="Sheet_Header" xfId="338" xr:uid="{00000000-0005-0000-0000-0000A2010000}"/>
    <cellStyle name="Standard" xfId="0" builtinId="0"/>
    <cellStyle name="Standard 10" xfId="304" xr:uid="{00000000-0005-0000-0000-0000A4010000}"/>
    <cellStyle name="Standard 10 2" xfId="436" xr:uid="{00000000-0005-0000-0000-0000A5010000}"/>
    <cellStyle name="Standard 10 2 2" xfId="460" xr:uid="{00000000-0005-0000-0000-0000A6010000}"/>
    <cellStyle name="Standard 10 3" xfId="448" xr:uid="{00000000-0005-0000-0000-0000A7010000}"/>
    <cellStyle name="Standard 11" xfId="306" xr:uid="{00000000-0005-0000-0000-0000A8010000}"/>
    <cellStyle name="Standard 12" xfId="349" xr:uid="{00000000-0005-0000-0000-0000A9010000}"/>
    <cellStyle name="Standard 12 2" xfId="438" xr:uid="{00000000-0005-0000-0000-0000AA010000}"/>
    <cellStyle name="Standard 12 2 2" xfId="462" xr:uid="{00000000-0005-0000-0000-0000AB010000}"/>
    <cellStyle name="Standard 12 3" xfId="450" xr:uid="{00000000-0005-0000-0000-0000AC010000}"/>
    <cellStyle name="Standard 13" xfId="356" xr:uid="{00000000-0005-0000-0000-0000AD010000}"/>
    <cellStyle name="Standard 13 2" xfId="455" xr:uid="{00000000-0005-0000-0000-0000AE010000}"/>
    <cellStyle name="Standard 14" xfId="354" xr:uid="{00000000-0005-0000-0000-0000AF010000}"/>
    <cellStyle name="Standard 14 2" xfId="453" xr:uid="{00000000-0005-0000-0000-0000B0010000}"/>
    <cellStyle name="Standard 15" xfId="442" xr:uid="{00000000-0005-0000-0000-0000B1010000}"/>
    <cellStyle name="Standard 15 2" xfId="465" xr:uid="{00000000-0005-0000-0000-0000B2010000}"/>
    <cellStyle name="Standard 15 2 2" xfId="470" xr:uid="{4079B3D3-ABF3-42F4-89C6-18E1DC9944C3}"/>
    <cellStyle name="Standard 16" xfId="468" xr:uid="{91ECC7C9-31A7-4BE8-A235-207D8F8F6196}"/>
    <cellStyle name="Standard 17" xfId="472" xr:uid="{58601ADA-7C8A-4DFD-B4E6-24593A77007D}"/>
    <cellStyle name="Standard 18" xfId="476" xr:uid="{552EECAF-47D6-455C-A86D-A4CEC4B49D3A}"/>
    <cellStyle name="Standard 2" xfId="7" xr:uid="{00000000-0005-0000-0000-0000B3010000}"/>
    <cellStyle name="Standard 2 2" xfId="351" xr:uid="{00000000-0005-0000-0000-0000B4010000}"/>
    <cellStyle name="Standard 2 3" xfId="358" xr:uid="{00000000-0005-0000-0000-0000B5010000}"/>
    <cellStyle name="Standard 2 3 2" xfId="456" xr:uid="{00000000-0005-0000-0000-0000B6010000}"/>
    <cellStyle name="Standard 2 4" xfId="444" xr:uid="{00000000-0005-0000-0000-0000B7010000}"/>
    <cellStyle name="Standard 2 5" xfId="474" xr:uid="{D25CDD0D-054B-4B95-A340-33932542F897}"/>
    <cellStyle name="Standard 3" xfId="8" xr:uid="{00000000-0005-0000-0000-0000B8010000}"/>
    <cellStyle name="Standard 4" xfId="9" xr:uid="{00000000-0005-0000-0000-0000B9010000}"/>
    <cellStyle name="Standard 5" xfId="10" xr:uid="{00000000-0005-0000-0000-0000BA010000}"/>
    <cellStyle name="Standard 6" xfId="11" xr:uid="{00000000-0005-0000-0000-0000BB010000}"/>
    <cellStyle name="Standard 6 2" xfId="359" xr:uid="{00000000-0005-0000-0000-0000BC010000}"/>
    <cellStyle name="Standard 7" xfId="14" xr:uid="{00000000-0005-0000-0000-0000BD010000}"/>
    <cellStyle name="Standard 7 2" xfId="360" xr:uid="{00000000-0005-0000-0000-0000BE010000}"/>
    <cellStyle name="Standard 7 2 2" xfId="457" xr:uid="{00000000-0005-0000-0000-0000BF010000}"/>
    <cellStyle name="Standard 7 3" xfId="445" xr:uid="{00000000-0005-0000-0000-0000C0010000}"/>
    <cellStyle name="Standard 8" xfId="300" xr:uid="{00000000-0005-0000-0000-0000C1010000}"/>
    <cellStyle name="Standard 8 2" xfId="432" xr:uid="{00000000-0005-0000-0000-0000C2010000}"/>
    <cellStyle name="Standard 9" xfId="302" xr:uid="{00000000-0005-0000-0000-0000C3010000}"/>
    <cellStyle name="Standard 9 2" xfId="434" xr:uid="{00000000-0005-0000-0000-0000C4010000}"/>
    <cellStyle name="Standard 9 2 2" xfId="458" xr:uid="{00000000-0005-0000-0000-0000C5010000}"/>
    <cellStyle name="Standard 9 3" xfId="446" xr:uid="{00000000-0005-0000-0000-0000C6010000}"/>
    <cellStyle name="Standard 9 4" xfId="480" xr:uid="{58F15E16-DFAA-459D-B160-A780D31BF93D}"/>
    <cellStyle name="Standard 9 5" xfId="482" xr:uid="{B94C6E2A-B3B6-4F84-9DD0-06165CF1D0B2}"/>
    <cellStyle name="Standard_Liquiditätsplan" xfId="12" xr:uid="{00000000-0005-0000-0000-0000CA010000}"/>
    <cellStyle name="Standard_Tilg Sulz" xfId="13" xr:uid="{00000000-0005-0000-0000-0000CC010000}"/>
    <cellStyle name="Stil 1" xfId="307" xr:uid="{00000000-0005-0000-0000-0000CD010000}"/>
    <cellStyle name="Sum_Total" xfId="299" xr:uid="{00000000-0005-0000-0000-0000CE010000}"/>
    <cellStyle name="Table_Heading" xfId="339" xr:uid="{00000000-0005-0000-0000-0000CF010000}"/>
    <cellStyle name="Technical_Input" xfId="340" xr:uid="{00000000-0005-0000-0000-0000D0010000}"/>
    <cellStyle name="Unit" xfId="341" xr:uid="{00000000-0005-0000-0000-0000D1010000}"/>
    <cellStyle name="Währung 2" xfId="346" xr:uid="{00000000-0005-0000-0000-0000D3010000}"/>
    <cellStyle name="Währung 3" xfId="441" xr:uid="{00000000-0005-0000-0000-0000D4010000}"/>
    <cellStyle name="Währung 4" xfId="355" xr:uid="{00000000-0005-0000-0000-0000D5010000}"/>
    <cellStyle name="Währung 4 2" xfId="454" xr:uid="{00000000-0005-0000-0000-0000D6010000}"/>
    <cellStyle name="Währung 5" xfId="443" xr:uid="{00000000-0005-0000-0000-0000D7010000}"/>
    <cellStyle name="Währung 5 2" xfId="466" xr:uid="{00000000-0005-0000-0000-0000D8010000}"/>
    <cellStyle name="Währung 5 2 2" xfId="471" xr:uid="{DCC41BF4-C8CD-4986-AEAC-D7EEB489ECEB}"/>
    <cellStyle name="Währung 6" xfId="473" xr:uid="{B91CFB5F-8BE1-447D-80A5-5BC4A15D64DC}"/>
    <cellStyle name="Währung 7" xfId="477" xr:uid="{9D87A1CD-7B0D-4A80-9560-6C969CAA8141}"/>
    <cellStyle name="WIP" xfId="342" xr:uid="{00000000-0005-0000-0000-0000D9010000}"/>
  </cellStyles>
  <dxfs count="0"/>
  <tableStyles count="0" defaultTableStyle="TableStyleMedium9" defaultPivotStyle="PivotStyleLight16"/>
  <colors>
    <mruColors>
      <color rgb="FFB3C43E"/>
      <color rgb="FF3C7460"/>
      <color rgb="FFE2E8B2"/>
      <color rgb="FFB3D7CA"/>
      <color rgb="FFFF9900"/>
      <color rgb="FFC3D7D3"/>
      <color rgb="FF3F7D76"/>
      <color rgb="FF85B100"/>
      <color rgb="FF3CB496"/>
      <color rgb="FFAF50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54428</xdr:colOff>
      <xdr:row>1</xdr:row>
      <xdr:rowOff>68035</xdr:rowOff>
    </xdr:from>
    <xdr:to>
      <xdr:col>11</xdr:col>
      <xdr:colOff>1223281</xdr:colOff>
      <xdr:row>4</xdr:row>
      <xdr:rowOff>183921</xdr:rowOff>
    </xdr:to>
    <xdr:pic>
      <xdr:nvPicPr>
        <xdr:cNvPr id="2" name="Grafik 1">
          <a:extLst>
            <a:ext uri="{FF2B5EF4-FFF2-40B4-BE49-F238E27FC236}">
              <a16:creationId xmlns:a16="http://schemas.microsoft.com/office/drawing/2014/main" id="{90AB0E4B-3B1C-4654-B068-8B5CA48080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49249" y="258535"/>
          <a:ext cx="4965246" cy="1013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1211035</xdr:colOff>
      <xdr:row>1</xdr:row>
      <xdr:rowOff>27214</xdr:rowOff>
    </xdr:from>
    <xdr:to>
      <xdr:col>13</xdr:col>
      <xdr:colOff>1114424</xdr:colOff>
      <xdr:row>4</xdr:row>
      <xdr:rowOff>143100</xdr:rowOff>
    </xdr:to>
    <xdr:pic>
      <xdr:nvPicPr>
        <xdr:cNvPr id="2" name="Grafik 1">
          <a:extLst>
            <a:ext uri="{FF2B5EF4-FFF2-40B4-BE49-F238E27FC236}">
              <a16:creationId xmlns:a16="http://schemas.microsoft.com/office/drawing/2014/main" id="{7717C0D4-E17F-4007-A011-205334BC1E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80821" y="217714"/>
          <a:ext cx="4965246" cy="1013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54428</xdr:colOff>
      <xdr:row>0</xdr:row>
      <xdr:rowOff>68036</xdr:rowOff>
    </xdr:from>
    <xdr:to>
      <xdr:col>9</xdr:col>
      <xdr:colOff>1998887</xdr:colOff>
      <xdr:row>2</xdr:row>
      <xdr:rowOff>335720</xdr:rowOff>
    </xdr:to>
    <xdr:pic>
      <xdr:nvPicPr>
        <xdr:cNvPr id="4" name="Grafik 3">
          <a:extLst>
            <a:ext uri="{FF2B5EF4-FFF2-40B4-BE49-F238E27FC236}">
              <a16:creationId xmlns:a16="http://schemas.microsoft.com/office/drawing/2014/main" id="{E06D4750-F7F4-5232-058D-AD2C34C4F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12785" y="68036"/>
          <a:ext cx="4176031" cy="85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52916</xdr:colOff>
      <xdr:row>0</xdr:row>
      <xdr:rowOff>105833</xdr:rowOff>
    </xdr:from>
    <xdr:to>
      <xdr:col>11</xdr:col>
      <xdr:colOff>689578</xdr:colOff>
      <xdr:row>3</xdr:row>
      <xdr:rowOff>287294</xdr:rowOff>
    </xdr:to>
    <xdr:pic>
      <xdr:nvPicPr>
        <xdr:cNvPr id="2" name="Grafik 1">
          <a:extLst>
            <a:ext uri="{FF2B5EF4-FFF2-40B4-BE49-F238E27FC236}">
              <a16:creationId xmlns:a16="http://schemas.microsoft.com/office/drawing/2014/main" id="{C6425969-F4B2-4F3C-A2AC-0A8D3FF596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03666" y="105833"/>
          <a:ext cx="4309079" cy="879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4533899</xdr:colOff>
      <xdr:row>3</xdr:row>
      <xdr:rowOff>19051</xdr:rowOff>
    </xdr:from>
    <xdr:to>
      <xdr:col>4</xdr:col>
      <xdr:colOff>1400174</xdr:colOff>
      <xdr:row>6</xdr:row>
      <xdr:rowOff>43423</xdr:rowOff>
    </xdr:to>
    <xdr:pic>
      <xdr:nvPicPr>
        <xdr:cNvPr id="2" name="Grafik 1">
          <a:extLst>
            <a:ext uri="{FF2B5EF4-FFF2-40B4-BE49-F238E27FC236}">
              <a16:creationId xmlns:a16="http://schemas.microsoft.com/office/drawing/2014/main" id="{486DC7F6-8B12-517E-E734-3183C9D93C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3324" y="723901"/>
          <a:ext cx="3819525" cy="78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3905249</xdr:colOff>
      <xdr:row>2</xdr:row>
      <xdr:rowOff>38100</xdr:rowOff>
    </xdr:from>
    <xdr:to>
      <xdr:col>4</xdr:col>
      <xdr:colOff>1419224</xdr:colOff>
      <xdr:row>5</xdr:row>
      <xdr:rowOff>119623</xdr:rowOff>
    </xdr:to>
    <xdr:pic>
      <xdr:nvPicPr>
        <xdr:cNvPr id="2" name="Grafik 1">
          <a:extLst>
            <a:ext uri="{FF2B5EF4-FFF2-40B4-BE49-F238E27FC236}">
              <a16:creationId xmlns:a16="http://schemas.microsoft.com/office/drawing/2014/main" id="{28452274-36E4-5795-8EDC-D29CD4F885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4674" y="476250"/>
          <a:ext cx="4467225" cy="919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665317</xdr:colOff>
      <xdr:row>0</xdr:row>
      <xdr:rowOff>810057</xdr:rowOff>
    </xdr:to>
    <xdr:pic>
      <xdr:nvPicPr>
        <xdr:cNvPr id="2" name="Grafik 1">
          <a:extLst>
            <a:ext uri="{FF2B5EF4-FFF2-40B4-BE49-F238E27FC236}">
              <a16:creationId xmlns:a16="http://schemas.microsoft.com/office/drawing/2014/main" id="{1C4C7ACA-EE37-4E6D-8791-3F88FA4D80C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36" t="11438" b="11957"/>
        <a:stretch/>
      </xdr:blipFill>
      <xdr:spPr>
        <a:xfrm>
          <a:off x="0" y="0"/>
          <a:ext cx="5403262" cy="805295"/>
        </a:xfrm>
        <a:prstGeom prst="rect">
          <a:avLst/>
        </a:prstGeom>
      </xdr:spPr>
    </xdr:pic>
    <xdr:clientData/>
  </xdr:twoCellAnchor>
  <xdr:twoCellAnchor editAs="oneCell">
    <xdr:from>
      <xdr:col>1</xdr:col>
      <xdr:colOff>81643</xdr:colOff>
      <xdr:row>60</xdr:row>
      <xdr:rowOff>156482</xdr:rowOff>
    </xdr:from>
    <xdr:to>
      <xdr:col>11</xdr:col>
      <xdr:colOff>495980</xdr:colOff>
      <xdr:row>71</xdr:row>
      <xdr:rowOff>65994</xdr:rowOff>
    </xdr:to>
    <xdr:pic>
      <xdr:nvPicPr>
        <xdr:cNvPr id="3" name="Grafik 2" descr="Was sagt der Return on Investment eigentlich aus?">
          <a:extLst>
            <a:ext uri="{FF2B5EF4-FFF2-40B4-BE49-F238E27FC236}">
              <a16:creationId xmlns:a16="http://schemas.microsoft.com/office/drawing/2014/main" id="{6F6BEA23-1601-D241-A320-3A2C67658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607" y="12205608"/>
          <a:ext cx="5716361"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dmin/Documents/Regenerativ%20Invest/Gesch&#228;ftsf&#252;hrung/Fondsberechnungen/Prolignis/100510_Gesamtprojekt_CoBa.XLS" TargetMode="External"/><Relationship Id="rId1" Type="http://schemas.openxmlformats.org/officeDocument/2006/relationships/externalLinkPath" Target="/Users/admin/Documents/Regenerativ%20Invest/Gesch&#228;ftsf&#252;hrung/Fondsberechnungen/Prolignis/100510_Gesamtprojekt_CoBa.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OrganicGarden804/Freigegebene%20Dokumente/5.%20BIOMA%20-%20G11/Terra/03.3_Pflanzenkohle/SYNcraft/WA%20light%20CW1800-500.xlsx" TargetMode="External"/><Relationship Id="rId1" Type="http://schemas.openxmlformats.org/officeDocument/2006/relationships/externalLinkPath" Target="/sites/OrganicGarden804/Freigegebene%20Dokumente/5.%20BIOMA%20-%20G11/Terra/03.3_Pflanzenkohle/SYNcraft/WA%20light%20CW1800-50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gritechIntegration/Freigegebene%20Dokumente/General/02%20-%20Vorlagen/PEP%20&amp;%20PEP%20light/PLUE%20Investrechner%20Biokohle%202023-01-02.xlsx" TargetMode="External"/><Relationship Id="rId1" Type="http://schemas.openxmlformats.org/officeDocument/2006/relationships/externalLinkPath" Target="/sites/AgritechIntegration/Freigegebene%20Dokumente/General/02%20-%20Vorlagen/PEP%20&amp;%20PEP%20light/PLUE%20Investrechner%20Biokohle%202023-01-0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beate/KORECO/bab/Bab98/06/Sollist.xls" TargetMode="External"/><Relationship Id="rId1" Type="http://schemas.openxmlformats.org/officeDocument/2006/relationships/externalLinkPath" Target="/beate/KORECO/bab/Bab98/06/Sollist.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BUDGET/97/Budget97.xls" TargetMode="External"/><Relationship Id="rId1" Type="http://schemas.openxmlformats.org/officeDocument/2006/relationships/externalLinkPath" Target="/BUDGET/97/Budget9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admin/Documents/Regenerativ%20Invest/Controlling/Controlling2/Pr&#228;sentationStrategiequatifizierungmitTargeting.xls" TargetMode="External"/><Relationship Id="rId1" Type="http://schemas.openxmlformats.org/officeDocument/2006/relationships/externalLinkPath" Target="/Users/admin/Documents/Regenerativ%20Invest/Controlling/Controlling2/Pr&#228;sentationStrategiequatifizierungmitTargeting.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admin/AppData/Local/Microsoft/Windows/Temporary%20Internet%20Files/Content.Outlook/WV8NQ61Y/BVT%20GF%20V%20Beispielrechnung%20Highcase%200509%20AV+UV%20175_215alternativ.xls" TargetMode="External"/><Relationship Id="rId1" Type="http://schemas.openxmlformats.org/officeDocument/2006/relationships/externalLinkPath" Target="/Users/admin/AppData/Local/Microsoft/Windows/Temporary%20Internet%20Files/Content.Outlook/WV8NQ61Y/BVT%20GF%20V%20Beispielrechnung%20Highcase%200509%20AV+UV%20175_215alternati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Übersichten R&amp;P"/>
      <sheetName val="Bilanzen R&amp;P"/>
      <sheetName val="Eingabeblatt_Wirtschaft"/>
      <sheetName val="El. Begrenzung"/>
      <sheetName val="Eingabeblatt_Technik"/>
      <sheetName val="Eingabeblatt_Finanzierung"/>
      <sheetName val="Inflations_Pacht"/>
      <sheetName val="Planung 20 Jahre"/>
      <sheetName val="Invest. und Finanz."/>
      <sheetName val="Holzversorgungs_Szenario"/>
      <sheetName val="Invest_Phase"/>
      <sheetName val="bereits bezahlt"/>
      <sheetName val="Gewerbesteuer"/>
      <sheetName val="Eingabewerte R&amp;P"/>
      <sheetName val="Reporting"/>
      <sheetName val="ERP_West"/>
      <sheetName val="ERP_Ost"/>
      <sheetName val="KfW"/>
      <sheetName val="Bank"/>
      <sheetName val="Gebühren Realis"/>
      <sheetName val="Kapitalanteil"/>
      <sheetName val="AfA"/>
      <sheetName val="Exit nach 15 Jahren"/>
      <sheetName val="Ermittlung RBW"/>
      <sheetName val="Auswirkung Lineare AfA a. IRR"/>
      <sheetName val="Beteiligung € 100 Exit 15 J."/>
      <sheetName val="Prognose Beteiligung € 100.000"/>
      <sheetName val="Barwert"/>
      <sheetName val="Ewige Rente"/>
      <sheetName val="Darlehen Real I.S."/>
      <sheetName val="Finanzierung BayernLB"/>
      <sheetName val="Legende"/>
      <sheetName val="Namensdefinitionen"/>
      <sheetName val="Übersichten_R&amp;P"/>
      <sheetName val="Bilanzen_R&amp;P"/>
      <sheetName val="El__Begrenzung"/>
      <sheetName val="Planung_20_Jahre"/>
      <sheetName val="Invest__und_Finanz_"/>
      <sheetName val="bereits_bezahlt"/>
      <sheetName val="Eingabewerte_R&amp;P"/>
      <sheetName val="Gebühren_Realis"/>
      <sheetName val="Exit_nach_15_Jahren"/>
      <sheetName val="Ermittlung_RBW"/>
      <sheetName val="Auswirkung_Lineare_AfA_a__IRR"/>
      <sheetName val="Beteiligung_€_100_Exit_15_J_"/>
      <sheetName val="Prognose_Beteiligung_€_100_000"/>
      <sheetName val="Ewige_Rente"/>
      <sheetName val="Darlehen_Real_I_S_"/>
      <sheetName val="Finanzierung_BayernLB"/>
    </sheetNames>
    <sheetDataSet>
      <sheetData sheetId="0"/>
      <sheetData sheetId="1">
        <row r="14">
          <cell r="F14">
            <v>500</v>
          </cell>
        </row>
      </sheetData>
      <sheetData sheetId="2">
        <row r="10">
          <cell r="H10">
            <v>40179</v>
          </cell>
          <cell r="I10">
            <v>40087</v>
          </cell>
          <cell r="J10">
            <v>40057</v>
          </cell>
          <cell r="K10">
            <v>40269</v>
          </cell>
          <cell r="L10">
            <v>40513</v>
          </cell>
          <cell r="M10">
            <v>40634</v>
          </cell>
        </row>
        <row r="11">
          <cell r="H11">
            <v>1</v>
          </cell>
          <cell r="I11">
            <v>0.25205479452054796</v>
          </cell>
          <cell r="J11">
            <v>0.33424657534246577</v>
          </cell>
          <cell r="K11">
            <v>0.75342465753424659</v>
          </cell>
          <cell r="L11">
            <v>8.4931506849315067E-2</v>
          </cell>
          <cell r="M11">
            <v>0.75342465753424659</v>
          </cell>
        </row>
        <row r="42">
          <cell r="F42">
            <v>0.02</v>
          </cell>
        </row>
        <row r="46">
          <cell r="H46">
            <v>105000</v>
          </cell>
          <cell r="I46">
            <v>105000</v>
          </cell>
          <cell r="J46">
            <v>105000</v>
          </cell>
          <cell r="K46">
            <v>105000</v>
          </cell>
          <cell r="L46">
            <v>105000</v>
          </cell>
          <cell r="M46">
            <v>105000</v>
          </cell>
        </row>
        <row r="47">
          <cell r="H47">
            <v>0</v>
          </cell>
          <cell r="I47">
            <v>0</v>
          </cell>
          <cell r="J47">
            <v>27072</v>
          </cell>
          <cell r="K47">
            <v>0</v>
          </cell>
          <cell r="L47">
            <v>0</v>
          </cell>
          <cell r="M47">
            <v>42000</v>
          </cell>
        </row>
        <row r="48">
          <cell r="J48">
            <v>39722</v>
          </cell>
          <cell r="L48">
            <v>39753</v>
          </cell>
          <cell r="M48">
            <v>39722</v>
          </cell>
        </row>
        <row r="49">
          <cell r="F49">
            <v>50000</v>
          </cell>
        </row>
        <row r="50">
          <cell r="F50">
            <v>39995</v>
          </cell>
        </row>
        <row r="51">
          <cell r="E51">
            <v>1.4999999999999999E-2</v>
          </cell>
        </row>
        <row r="57">
          <cell r="F57">
            <v>0.02</v>
          </cell>
        </row>
        <row r="61">
          <cell r="F61">
            <v>0.02</v>
          </cell>
        </row>
        <row r="63">
          <cell r="F63">
            <v>0.02</v>
          </cell>
        </row>
        <row r="65">
          <cell r="F65">
            <v>0.02</v>
          </cell>
        </row>
        <row r="69">
          <cell r="F69">
            <v>6</v>
          </cell>
        </row>
        <row r="71">
          <cell r="F71" t="str">
            <v>Langelsheim</v>
          </cell>
        </row>
        <row r="72">
          <cell r="F72" t="str">
            <v>GVZ Leipzig</v>
          </cell>
        </row>
        <row r="73">
          <cell r="F73" t="str">
            <v>Bad Arolsen</v>
          </cell>
        </row>
        <row r="74">
          <cell r="F74" t="str">
            <v>Niedersachsenpark</v>
          </cell>
        </row>
        <row r="75">
          <cell r="F75" t="str">
            <v>Niesky</v>
          </cell>
        </row>
        <row r="76">
          <cell r="F76" t="str">
            <v>Steinau</v>
          </cell>
        </row>
      </sheetData>
      <sheetData sheetId="3">
        <row r="4">
          <cell r="C4" t="str">
            <v>EEG-Vergütung in €/MWh</v>
          </cell>
        </row>
      </sheetData>
      <sheetData sheetId="4"/>
      <sheetData sheetId="5">
        <row r="31">
          <cell r="G31" t="str">
            <v>pro Monat</v>
          </cell>
          <cell r="H31">
            <v>0</v>
          </cell>
        </row>
        <row r="45">
          <cell r="C45" t="str">
            <v>pro Jahr</v>
          </cell>
          <cell r="D45">
            <v>0</v>
          </cell>
          <cell r="G45" t="str">
            <v>pro Jahr</v>
          </cell>
          <cell r="H45">
            <v>0</v>
          </cell>
          <cell r="K45" t="str">
            <v>pro Jahr</v>
          </cell>
          <cell r="L45">
            <v>0.03</v>
          </cell>
        </row>
        <row r="46">
          <cell r="D46">
            <v>3.4000000000000002E-2</v>
          </cell>
          <cell r="H46">
            <v>3.15E-2</v>
          </cell>
          <cell r="L46">
            <v>3.15E-2</v>
          </cell>
        </row>
        <row r="47">
          <cell r="D47">
            <v>1.7999999999999999E-2</v>
          </cell>
          <cell r="H47">
            <v>1.7999999999999999E-2</v>
          </cell>
          <cell r="L47">
            <v>1.7999999999999999E-2</v>
          </cell>
        </row>
        <row r="49">
          <cell r="D49">
            <v>43524</v>
          </cell>
          <cell r="H49">
            <v>43524</v>
          </cell>
          <cell r="L49">
            <v>43524</v>
          </cell>
        </row>
        <row r="50">
          <cell r="D50">
            <v>0.06</v>
          </cell>
          <cell r="H50">
            <v>0.06</v>
          </cell>
          <cell r="L50">
            <v>0.06</v>
          </cell>
        </row>
        <row r="65">
          <cell r="C65" t="str">
            <v>pro Monat</v>
          </cell>
          <cell r="D65">
            <v>0</v>
          </cell>
        </row>
        <row r="66">
          <cell r="D66">
            <v>4.1000000000000002E-2</v>
          </cell>
        </row>
        <row r="67">
          <cell r="D67">
            <v>2.1000000000000001E-2</v>
          </cell>
        </row>
      </sheetData>
      <sheetData sheetId="6">
        <row r="20">
          <cell r="C20">
            <v>2009</v>
          </cell>
          <cell r="D20">
            <v>2010</v>
          </cell>
          <cell r="E20">
            <v>2011</v>
          </cell>
          <cell r="F20">
            <v>2012</v>
          </cell>
          <cell r="G20">
            <v>2013</v>
          </cell>
          <cell r="H20">
            <v>2014</v>
          </cell>
          <cell r="I20">
            <v>2015</v>
          </cell>
          <cell r="J20">
            <v>2016</v>
          </cell>
          <cell r="K20">
            <v>2017</v>
          </cell>
          <cell r="L20">
            <v>2018</v>
          </cell>
          <cell r="M20">
            <v>2019</v>
          </cell>
          <cell r="N20">
            <v>2020</v>
          </cell>
          <cell r="O20">
            <v>2021</v>
          </cell>
          <cell r="P20">
            <v>2022</v>
          </cell>
          <cell r="Q20">
            <v>2023</v>
          </cell>
          <cell r="R20">
            <v>2024</v>
          </cell>
          <cell r="S20">
            <v>2025</v>
          </cell>
          <cell r="T20">
            <v>2026</v>
          </cell>
          <cell r="U20">
            <v>2027</v>
          </cell>
          <cell r="V20">
            <v>2028</v>
          </cell>
          <cell r="W20">
            <v>2029</v>
          </cell>
          <cell r="X20">
            <v>2030</v>
          </cell>
        </row>
        <row r="21">
          <cell r="C21">
            <v>1</v>
          </cell>
          <cell r="D21">
            <v>1</v>
          </cell>
          <cell r="E21">
            <v>1</v>
          </cell>
          <cell r="F21">
            <v>1</v>
          </cell>
          <cell r="G21">
            <v>1</v>
          </cell>
          <cell r="H21">
            <v>1.1040808032</v>
          </cell>
          <cell r="I21">
            <v>1.1040808032</v>
          </cell>
          <cell r="J21">
            <v>1.1040808032</v>
          </cell>
          <cell r="K21">
            <v>1.1040808032</v>
          </cell>
          <cell r="L21">
            <v>1.1040808032</v>
          </cell>
          <cell r="M21">
            <v>1.2189944199947571</v>
          </cell>
          <cell r="N21">
            <v>1.2189944199947571</v>
          </cell>
          <cell r="O21">
            <v>1.2189944199947571</v>
          </cell>
          <cell r="P21">
            <v>1.2189944199947571</v>
          </cell>
          <cell r="Q21">
            <v>1.2189944199947571</v>
          </cell>
          <cell r="R21">
            <v>1.3458683383241292</v>
          </cell>
          <cell r="S21">
            <v>1.3458683383241292</v>
          </cell>
          <cell r="T21">
            <v>1.3458683383241292</v>
          </cell>
          <cell r="U21">
            <v>1.3458683383241292</v>
          </cell>
          <cell r="V21">
            <v>1.3458683383241292</v>
          </cell>
          <cell r="W21">
            <v>1.4859473959783542</v>
          </cell>
          <cell r="X21">
            <v>1.4859473959783542</v>
          </cell>
        </row>
      </sheetData>
      <sheetData sheetId="7"/>
      <sheetData sheetId="8">
        <row r="33">
          <cell r="M33">
            <v>50000000</v>
          </cell>
        </row>
      </sheetData>
      <sheetData sheetId="9"/>
      <sheetData sheetId="10">
        <row r="4">
          <cell r="D4">
            <v>39264</v>
          </cell>
          <cell r="E4">
            <v>39295</v>
          </cell>
          <cell r="F4">
            <v>39326</v>
          </cell>
          <cell r="G4">
            <v>39356</v>
          </cell>
          <cell r="H4">
            <v>39387</v>
          </cell>
          <cell r="I4">
            <v>39417</v>
          </cell>
          <cell r="J4">
            <v>39448</v>
          </cell>
          <cell r="K4">
            <v>39479</v>
          </cell>
          <cell r="L4">
            <v>39508</v>
          </cell>
          <cell r="M4">
            <v>39539</v>
          </cell>
          <cell r="N4">
            <v>39569</v>
          </cell>
          <cell r="O4">
            <v>39600</v>
          </cell>
          <cell r="P4">
            <v>39630</v>
          </cell>
          <cell r="Q4">
            <v>39661</v>
          </cell>
          <cell r="R4">
            <v>39692</v>
          </cell>
          <cell r="S4">
            <v>39722</v>
          </cell>
          <cell r="T4">
            <v>39753</v>
          </cell>
          <cell r="U4">
            <v>39783</v>
          </cell>
          <cell r="V4">
            <v>39814</v>
          </cell>
          <cell r="W4">
            <v>39845</v>
          </cell>
          <cell r="X4">
            <v>39873</v>
          </cell>
          <cell r="Y4">
            <v>39904</v>
          </cell>
          <cell r="Z4">
            <v>39934</v>
          </cell>
          <cell r="AA4">
            <v>39965</v>
          </cell>
          <cell r="AB4">
            <v>39995</v>
          </cell>
          <cell r="AC4">
            <v>40026</v>
          </cell>
          <cell r="AD4">
            <v>40057</v>
          </cell>
          <cell r="AE4">
            <v>40087</v>
          </cell>
          <cell r="AF4">
            <v>40118</v>
          </cell>
          <cell r="AG4">
            <v>40148</v>
          </cell>
          <cell r="AH4">
            <v>40179</v>
          </cell>
          <cell r="AI4">
            <v>40210</v>
          </cell>
          <cell r="AJ4">
            <v>40238</v>
          </cell>
          <cell r="AK4">
            <v>40269</v>
          </cell>
          <cell r="AL4">
            <v>40299</v>
          </cell>
          <cell r="AM4">
            <v>40330</v>
          </cell>
          <cell r="AN4">
            <v>40360</v>
          </cell>
          <cell r="AO4">
            <v>40391</v>
          </cell>
          <cell r="AP4">
            <v>40422</v>
          </cell>
          <cell r="AQ4">
            <v>40452</v>
          </cell>
          <cell r="AR4">
            <v>40483</v>
          </cell>
          <cell r="AS4">
            <v>40513</v>
          </cell>
          <cell r="AT4">
            <v>40544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4">
          <cell r="F14">
            <v>500</v>
          </cell>
        </row>
      </sheetData>
      <sheetData sheetId="35">
        <row r="4">
          <cell r="C4" t="str">
            <v>EEG-Vergütung in €/MWh</v>
          </cell>
        </row>
      </sheetData>
      <sheetData sheetId="36"/>
      <sheetData sheetId="37">
        <row r="33">
          <cell r="M33">
            <v>50000000</v>
          </cell>
        </row>
      </sheetData>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A light CW1800-500"/>
      <sheetName val="Teilberechnungen"/>
    </sheetNames>
    <sheetDataSet>
      <sheetData sheetId="0">
        <row r="7">
          <cell r="B7">
            <v>500</v>
          </cell>
          <cell r="D7">
            <v>1754</v>
          </cell>
          <cell r="E7">
            <v>0.28506271379703535</v>
          </cell>
          <cell r="F7">
            <v>7500</v>
          </cell>
          <cell r="H7">
            <v>3750000</v>
          </cell>
        </row>
        <row r="8">
          <cell r="B8">
            <v>770</v>
          </cell>
          <cell r="E8">
            <v>0.43899657924743446</v>
          </cell>
          <cell r="H8">
            <v>5775000</v>
          </cell>
        </row>
        <row r="9">
          <cell r="B9">
            <v>300</v>
          </cell>
          <cell r="E9">
            <v>0.17103762827822122</v>
          </cell>
          <cell r="H9">
            <v>2250000</v>
          </cell>
        </row>
        <row r="15">
          <cell r="B15">
            <v>2388000</v>
          </cell>
          <cell r="E15">
            <v>15</v>
          </cell>
          <cell r="H15">
            <v>85</v>
          </cell>
        </row>
        <row r="16">
          <cell r="B16">
            <v>0</v>
          </cell>
          <cell r="H16">
            <v>0.15</v>
          </cell>
        </row>
        <row r="17">
          <cell r="B17">
            <v>0</v>
          </cell>
          <cell r="E17">
            <v>0.03</v>
          </cell>
          <cell r="H17">
            <v>0.03</v>
          </cell>
        </row>
        <row r="18">
          <cell r="B18">
            <v>0</v>
          </cell>
          <cell r="H18">
            <v>200</v>
          </cell>
        </row>
        <row r="19">
          <cell r="H19">
            <v>150630</v>
          </cell>
        </row>
        <row r="20">
          <cell r="H20">
            <v>0.02</v>
          </cell>
        </row>
        <row r="26">
          <cell r="B26">
            <v>1</v>
          </cell>
        </row>
        <row r="29">
          <cell r="B29">
            <v>562500</v>
          </cell>
        </row>
        <row r="30">
          <cell r="B30">
            <v>173249.99999999997</v>
          </cell>
        </row>
        <row r="31">
          <cell r="B31">
            <v>30782.7</v>
          </cell>
          <cell r="G31">
            <v>280653.27499999991</v>
          </cell>
        </row>
        <row r="32">
          <cell r="B32">
            <v>766532.7</v>
          </cell>
        </row>
        <row r="35">
          <cell r="B35">
            <v>223125</v>
          </cell>
        </row>
        <row r="36">
          <cell r="B36">
            <v>150630</v>
          </cell>
        </row>
        <row r="37">
          <cell r="B37">
            <v>71640.000000000058</v>
          </cell>
        </row>
        <row r="38">
          <cell r="B38">
            <v>40484.424999999974</v>
          </cell>
        </row>
        <row r="39">
          <cell r="B39">
            <v>485879.42500000005</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ingabe"/>
      <sheetName val="Ausgabe"/>
      <sheetName val="PYREG PX1500"/>
      <sheetName val="SynCraft 1000"/>
      <sheetName val="Anlagenhersteller und -typen"/>
      <sheetName val="Teilberechnungen"/>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um"/>
      <sheetName val="Imp"/>
      <sheetName val="Et."/>
      <sheetName val="DR"/>
      <sheetName val="S1"/>
      <sheetName val="S2"/>
      <sheetName val="G&amp;V"/>
      <sheetName val="JV"/>
      <sheetName val="Bud"/>
      <sheetName val="SoIs"/>
      <sheetName val="H"/>
      <sheetName val="B"/>
      <sheetName val="I"/>
      <sheetName val="BVTT"/>
      <sheetName val="F"/>
      <sheetName val="VS"/>
      <sheetName val="D"/>
      <sheetName val="KA"/>
      <sheetName val="L"/>
      <sheetName val="DPC"/>
      <sheetName val="PC"/>
      <sheetName val="Prof"/>
      <sheetName val="BAB"/>
      <sheetName val="Allg."/>
      <sheetName val="Immo"/>
      <sheetName val="Umwelt"/>
      <sheetName val="Ind.Bet."/>
      <sheetName val="USA"/>
      <sheetName val="PKT"/>
      <sheetName val="Modul2"/>
      <sheetName val="Dialog1"/>
      <sheetName val="Dialog2"/>
      <sheetName val="Et_"/>
      <sheetName val="Allg_"/>
      <sheetName val="Ind_Bet_"/>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-135</v>
          </cell>
          <cell r="Z17">
            <v>0</v>
          </cell>
          <cell r="AA17">
            <v>0</v>
          </cell>
          <cell r="AB17">
            <v>0</v>
          </cell>
          <cell r="AC17">
            <v>-70</v>
          </cell>
          <cell r="AD17">
            <v>0</v>
          </cell>
          <cell r="AE17">
            <v>0</v>
          </cell>
          <cell r="AF17">
            <v>0</v>
          </cell>
          <cell r="AG17">
            <v>0</v>
          </cell>
          <cell r="AH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-5</v>
          </cell>
          <cell r="Z18">
            <v>0</v>
          </cell>
          <cell r="AA18">
            <v>0</v>
          </cell>
          <cell r="AB18">
            <v>0</v>
          </cell>
          <cell r="AC18">
            <v>0</v>
          </cell>
          <cell r="AD18">
            <v>0</v>
          </cell>
          <cell r="AE18">
            <v>0</v>
          </cell>
          <cell r="AF18">
            <v>0</v>
          </cell>
          <cell r="AG18">
            <v>0</v>
          </cell>
          <cell r="AH18">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row>
        <row r="23">
          <cell r="C23">
            <v>0</v>
          </cell>
          <cell r="D23">
            <v>0</v>
          </cell>
          <cell r="E23">
            <v>0</v>
          </cell>
          <cell r="F23">
            <v>0</v>
          </cell>
          <cell r="G23">
            <v>0</v>
          </cell>
          <cell r="H23">
            <v>0</v>
          </cell>
          <cell r="I23">
            <v>0</v>
          </cell>
          <cell r="J23">
            <v>0</v>
          </cell>
          <cell r="K23">
            <v>0</v>
          </cell>
          <cell r="L23">
            <v>7</v>
          </cell>
          <cell r="M23">
            <v>0</v>
          </cell>
          <cell r="N23">
            <v>0</v>
          </cell>
          <cell r="O23">
            <v>0</v>
          </cell>
          <cell r="P23">
            <v>0</v>
          </cell>
          <cell r="Q23">
            <v>0</v>
          </cell>
          <cell r="R23">
            <v>0</v>
          </cell>
          <cell r="S23">
            <v>0</v>
          </cell>
          <cell r="T23">
            <v>0</v>
          </cell>
          <cell r="U23">
            <v>0</v>
          </cell>
          <cell r="V23">
            <v>0</v>
          </cell>
          <cell r="W23">
            <v>0</v>
          </cell>
          <cell r="X23">
            <v>0</v>
          </cell>
          <cell r="Y23">
            <v>0</v>
          </cell>
          <cell r="Z23">
            <v>4</v>
          </cell>
          <cell r="AA23">
            <v>0</v>
          </cell>
          <cell r="AB23">
            <v>0</v>
          </cell>
          <cell r="AC23">
            <v>0</v>
          </cell>
          <cell r="AD23">
            <v>0</v>
          </cell>
          <cell r="AE23">
            <v>1</v>
          </cell>
          <cell r="AF23">
            <v>2</v>
          </cell>
          <cell r="AG23">
            <v>8</v>
          </cell>
          <cell r="AH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C25">
            <v>0</v>
          </cell>
          <cell r="D25">
            <v>0</v>
          </cell>
          <cell r="E25">
            <v>0</v>
          </cell>
          <cell r="F25">
            <v>0</v>
          </cell>
          <cell r="G25">
            <v>0</v>
          </cell>
          <cell r="H25">
            <v>0</v>
          </cell>
          <cell r="I25">
            <v>0</v>
          </cell>
          <cell r="J25">
            <v>0</v>
          </cell>
          <cell r="K25">
            <v>0</v>
          </cell>
          <cell r="L25">
            <v>22</v>
          </cell>
          <cell r="M25">
            <v>0</v>
          </cell>
          <cell r="N25">
            <v>0</v>
          </cell>
          <cell r="O25">
            <v>0</v>
          </cell>
          <cell r="P25">
            <v>0</v>
          </cell>
          <cell r="Q25">
            <v>0</v>
          </cell>
          <cell r="R25">
            <v>0</v>
          </cell>
          <cell r="S25">
            <v>0</v>
          </cell>
          <cell r="T25">
            <v>0</v>
          </cell>
          <cell r="U25">
            <v>0</v>
          </cell>
          <cell r="V25">
            <v>0</v>
          </cell>
          <cell r="W25">
            <v>0</v>
          </cell>
          <cell r="X25">
            <v>10</v>
          </cell>
          <cell r="Y25">
            <v>2</v>
          </cell>
          <cell r="Z25">
            <v>4</v>
          </cell>
          <cell r="AA25">
            <v>1</v>
          </cell>
          <cell r="AB25">
            <v>4</v>
          </cell>
          <cell r="AC25">
            <v>10</v>
          </cell>
          <cell r="AD25">
            <v>0</v>
          </cell>
          <cell r="AE25">
            <v>8</v>
          </cell>
          <cell r="AF25">
            <v>7</v>
          </cell>
          <cell r="AG25">
            <v>26</v>
          </cell>
          <cell r="AH25">
            <v>0</v>
          </cell>
        </row>
        <row r="26">
          <cell r="C26">
            <v>0</v>
          </cell>
          <cell r="D26">
            <v>0</v>
          </cell>
          <cell r="E26">
            <v>0</v>
          </cell>
          <cell r="F26">
            <v>0</v>
          </cell>
          <cell r="G26">
            <v>0</v>
          </cell>
          <cell r="H26">
            <v>0</v>
          </cell>
          <cell r="I26">
            <v>0</v>
          </cell>
          <cell r="J26">
            <v>0</v>
          </cell>
          <cell r="K26">
            <v>0</v>
          </cell>
          <cell r="L26">
            <v>10</v>
          </cell>
          <cell r="M26">
            <v>0</v>
          </cell>
          <cell r="N26">
            <v>0</v>
          </cell>
          <cell r="O26">
            <v>0</v>
          </cell>
          <cell r="P26">
            <v>0</v>
          </cell>
          <cell r="Q26">
            <v>0</v>
          </cell>
          <cell r="R26">
            <v>0</v>
          </cell>
          <cell r="S26">
            <v>0</v>
          </cell>
          <cell r="T26">
            <v>0</v>
          </cell>
          <cell r="U26">
            <v>0</v>
          </cell>
          <cell r="V26">
            <v>0</v>
          </cell>
          <cell r="W26">
            <v>0</v>
          </cell>
          <cell r="X26">
            <v>16</v>
          </cell>
          <cell r="Y26">
            <v>73</v>
          </cell>
          <cell r="Z26">
            <v>0</v>
          </cell>
          <cell r="AA26">
            <v>6</v>
          </cell>
          <cell r="AB26">
            <v>0</v>
          </cell>
          <cell r="AC26">
            <v>14</v>
          </cell>
          <cell r="AD26">
            <v>57</v>
          </cell>
          <cell r="AE26">
            <v>0</v>
          </cell>
          <cell r="AF26">
            <v>0</v>
          </cell>
          <cell r="AG26">
            <v>0</v>
          </cell>
          <cell r="AH26">
            <v>0</v>
          </cell>
        </row>
        <row r="27">
          <cell r="C27">
            <v>0</v>
          </cell>
          <cell r="D27">
            <v>0</v>
          </cell>
          <cell r="E27">
            <v>0</v>
          </cell>
          <cell r="F27">
            <v>0</v>
          </cell>
          <cell r="G27">
            <v>0</v>
          </cell>
          <cell r="H27">
            <v>0</v>
          </cell>
          <cell r="I27">
            <v>0</v>
          </cell>
          <cell r="J27">
            <v>0</v>
          </cell>
          <cell r="K27">
            <v>0</v>
          </cell>
          <cell r="L27">
            <v>24</v>
          </cell>
          <cell r="M27">
            <v>0</v>
          </cell>
          <cell r="N27">
            <v>0</v>
          </cell>
          <cell r="O27">
            <v>0</v>
          </cell>
          <cell r="P27">
            <v>0</v>
          </cell>
          <cell r="Q27">
            <v>0</v>
          </cell>
          <cell r="R27">
            <v>0</v>
          </cell>
          <cell r="S27">
            <v>0</v>
          </cell>
          <cell r="T27">
            <v>0</v>
          </cell>
          <cell r="U27">
            <v>0</v>
          </cell>
          <cell r="V27">
            <v>0</v>
          </cell>
          <cell r="W27">
            <v>0</v>
          </cell>
          <cell r="X27">
            <v>0</v>
          </cell>
          <cell r="Y27">
            <v>118</v>
          </cell>
          <cell r="Z27">
            <v>0</v>
          </cell>
          <cell r="AA27">
            <v>0</v>
          </cell>
          <cell r="AB27">
            <v>0</v>
          </cell>
          <cell r="AC27">
            <v>0</v>
          </cell>
          <cell r="AD27">
            <v>360</v>
          </cell>
          <cell r="AE27">
            <v>1</v>
          </cell>
          <cell r="AF27">
            <v>0</v>
          </cell>
          <cell r="AG27">
            <v>1</v>
          </cell>
          <cell r="AH27">
            <v>0</v>
          </cell>
        </row>
        <row r="33">
          <cell r="C33">
            <v>444</v>
          </cell>
          <cell r="D33">
            <v>334</v>
          </cell>
          <cell r="E33">
            <v>140</v>
          </cell>
          <cell r="F33">
            <v>258</v>
          </cell>
          <cell r="G33">
            <v>271</v>
          </cell>
          <cell r="H33">
            <v>85</v>
          </cell>
          <cell r="I33">
            <v>13</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C34">
            <v>0</v>
          </cell>
          <cell r="D34">
            <v>0</v>
          </cell>
          <cell r="E34">
            <v>0</v>
          </cell>
          <cell r="F34">
            <v>0</v>
          </cell>
          <cell r="G34">
            <v>0</v>
          </cell>
          <cell r="H34">
            <v>0</v>
          </cell>
          <cell r="I34">
            <v>317</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row>
        <row r="35">
          <cell r="C35">
            <v>11</v>
          </cell>
          <cell r="D35">
            <v>0</v>
          </cell>
          <cell r="E35">
            <v>0</v>
          </cell>
          <cell r="F35">
            <v>0</v>
          </cell>
          <cell r="G35">
            <v>0</v>
          </cell>
          <cell r="H35">
            <v>0</v>
          </cell>
          <cell r="I35">
            <v>13</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C36">
            <v>86</v>
          </cell>
          <cell r="D36">
            <v>4</v>
          </cell>
          <cell r="E36">
            <v>0</v>
          </cell>
          <cell r="F36">
            <v>14</v>
          </cell>
          <cell r="G36">
            <v>0</v>
          </cell>
          <cell r="H36">
            <v>20</v>
          </cell>
          <cell r="I36">
            <v>13</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1</v>
          </cell>
          <cell r="AG36">
            <v>0</v>
          </cell>
          <cell r="AH36">
            <v>0</v>
          </cell>
        </row>
        <row r="37">
          <cell r="C37">
            <v>6</v>
          </cell>
          <cell r="D37">
            <v>0</v>
          </cell>
          <cell r="E37">
            <v>0</v>
          </cell>
          <cell r="F37">
            <v>0</v>
          </cell>
          <cell r="G37">
            <v>0</v>
          </cell>
          <cell r="H37">
            <v>0</v>
          </cell>
          <cell r="I37">
            <v>23</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C38">
            <v>7</v>
          </cell>
          <cell r="D38">
            <v>0</v>
          </cell>
          <cell r="E38">
            <v>1</v>
          </cell>
          <cell r="F38">
            <v>3</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row>
        <row r="39">
          <cell r="C39">
            <v>0</v>
          </cell>
          <cell r="D39">
            <v>0</v>
          </cell>
          <cell r="E39">
            <v>0</v>
          </cell>
          <cell r="F39">
            <v>0</v>
          </cell>
          <cell r="G39">
            <v>0</v>
          </cell>
          <cell r="H39">
            <v>0</v>
          </cell>
          <cell r="I39">
            <v>23</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C40">
            <v>0</v>
          </cell>
          <cell r="D40">
            <v>0</v>
          </cell>
          <cell r="E40">
            <v>0</v>
          </cell>
          <cell r="F40">
            <v>0</v>
          </cell>
          <cell r="G40">
            <v>0</v>
          </cell>
          <cell r="H40">
            <v>0</v>
          </cell>
          <cell r="I40">
            <v>4</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C41">
            <v>4</v>
          </cell>
          <cell r="D41">
            <v>0</v>
          </cell>
          <cell r="E41">
            <v>0</v>
          </cell>
          <cell r="F41">
            <v>0</v>
          </cell>
          <cell r="G41">
            <v>0</v>
          </cell>
          <cell r="H41">
            <v>0</v>
          </cell>
          <cell r="I41">
            <v>20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row>
        <row r="42">
          <cell r="C42">
            <v>0</v>
          </cell>
          <cell r="D42">
            <v>0</v>
          </cell>
          <cell r="E42">
            <v>0</v>
          </cell>
          <cell r="F42">
            <v>1</v>
          </cell>
          <cell r="G42">
            <v>0</v>
          </cell>
          <cell r="H42">
            <v>0</v>
          </cell>
          <cell r="I42">
            <v>-11</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row>
        <row r="43">
          <cell r="C43">
            <v>15</v>
          </cell>
          <cell r="D43">
            <v>1</v>
          </cell>
          <cell r="E43">
            <v>1</v>
          </cell>
          <cell r="F43">
            <v>3</v>
          </cell>
          <cell r="G43">
            <v>2</v>
          </cell>
          <cell r="H43">
            <v>2</v>
          </cell>
          <cell r="I43">
            <v>17</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row>
        <row r="44">
          <cell r="C44">
            <v>27</v>
          </cell>
          <cell r="D44">
            <v>5</v>
          </cell>
          <cell r="E44">
            <v>2</v>
          </cell>
          <cell r="F44">
            <v>1</v>
          </cell>
          <cell r="G44">
            <v>3</v>
          </cell>
          <cell r="H44">
            <v>1</v>
          </cell>
          <cell r="I44">
            <v>112</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row>
        <row r="45">
          <cell r="C45">
            <v>1</v>
          </cell>
          <cell r="D45">
            <v>1</v>
          </cell>
          <cell r="E45">
            <v>1</v>
          </cell>
          <cell r="F45">
            <v>1</v>
          </cell>
          <cell r="G45">
            <v>1</v>
          </cell>
          <cell r="H45">
            <v>0</v>
          </cell>
          <cell r="I45">
            <v>7</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C46">
            <v>15</v>
          </cell>
          <cell r="D46">
            <v>0</v>
          </cell>
          <cell r="E46">
            <v>0</v>
          </cell>
          <cell r="F46">
            <v>0</v>
          </cell>
          <cell r="G46">
            <v>0</v>
          </cell>
          <cell r="H46">
            <v>0</v>
          </cell>
          <cell r="I46">
            <v>27</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C47">
            <v>15</v>
          </cell>
          <cell r="D47">
            <v>0</v>
          </cell>
          <cell r="E47">
            <v>0</v>
          </cell>
          <cell r="F47">
            <v>0</v>
          </cell>
          <cell r="G47">
            <v>0</v>
          </cell>
          <cell r="H47">
            <v>0</v>
          </cell>
          <cell r="I47">
            <v>29</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row>
        <row r="48">
          <cell r="C48">
            <v>-158</v>
          </cell>
          <cell r="D48">
            <v>-279</v>
          </cell>
          <cell r="E48">
            <v>-150</v>
          </cell>
          <cell r="F48">
            <v>-181</v>
          </cell>
          <cell r="G48">
            <v>0</v>
          </cell>
          <cell r="H48">
            <v>0</v>
          </cell>
          <cell r="I48">
            <v>-30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C49">
            <v>3</v>
          </cell>
          <cell r="D49">
            <v>0</v>
          </cell>
          <cell r="E49">
            <v>0</v>
          </cell>
          <cell r="F49">
            <v>0</v>
          </cell>
          <cell r="G49">
            <v>0</v>
          </cell>
          <cell r="H49">
            <v>0</v>
          </cell>
          <cell r="I49">
            <v>7</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C50">
            <v>0</v>
          </cell>
          <cell r="D50">
            <v>-1</v>
          </cell>
          <cell r="E50">
            <v>0</v>
          </cell>
          <cell r="F50">
            <v>0</v>
          </cell>
          <cell r="G50">
            <v>0</v>
          </cell>
          <cell r="H50">
            <v>0</v>
          </cell>
          <cell r="I50">
            <v>6</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row>
        <row r="51">
          <cell r="C51">
            <v>-1</v>
          </cell>
          <cell r="D51">
            <v>0</v>
          </cell>
          <cell r="E51">
            <v>0</v>
          </cell>
          <cell r="F51">
            <v>0</v>
          </cell>
          <cell r="G51">
            <v>0</v>
          </cell>
          <cell r="H51">
            <v>0</v>
          </cell>
          <cell r="I51">
            <v>-21</v>
          </cell>
          <cell r="J51">
            <v>0</v>
          </cell>
          <cell r="K51">
            <v>0</v>
          </cell>
          <cell r="L51">
            <v>0</v>
          </cell>
          <cell r="M51">
            <v>-20</v>
          </cell>
          <cell r="N51">
            <v>0</v>
          </cell>
          <cell r="O51">
            <v>0</v>
          </cell>
          <cell r="P51">
            <v>0</v>
          </cell>
          <cell r="Q51">
            <v>0</v>
          </cell>
          <cell r="R51">
            <v>-8</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C52">
            <v>-1</v>
          </cell>
          <cell r="D52">
            <v>1</v>
          </cell>
          <cell r="E52">
            <v>0</v>
          </cell>
          <cell r="F52">
            <v>0</v>
          </cell>
          <cell r="G52">
            <v>-1</v>
          </cell>
          <cell r="H52">
            <v>-1</v>
          </cell>
          <cell r="I52">
            <v>-52</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row>
        <row r="53">
          <cell r="C53">
            <v>0</v>
          </cell>
          <cell r="D53">
            <v>0</v>
          </cell>
          <cell r="E53">
            <v>0</v>
          </cell>
          <cell r="F53">
            <v>0</v>
          </cell>
          <cell r="G53">
            <v>0</v>
          </cell>
          <cell r="H53">
            <v>0</v>
          </cell>
          <cell r="I53">
            <v>22</v>
          </cell>
          <cell r="J53">
            <v>0</v>
          </cell>
          <cell r="K53">
            <v>0</v>
          </cell>
          <cell r="L53">
            <v>57</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64</v>
          </cell>
          <cell r="AF53">
            <v>0</v>
          </cell>
          <cell r="AG53">
            <v>0</v>
          </cell>
          <cell r="AH53">
            <v>0</v>
          </cell>
        </row>
      </sheetData>
      <sheetData sheetId="11">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-4369</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-224</v>
          </cell>
          <cell r="AD8">
            <v>0</v>
          </cell>
          <cell r="AE8">
            <v>0</v>
          </cell>
          <cell r="AF8">
            <v>0</v>
          </cell>
          <cell r="AG8">
            <v>0</v>
          </cell>
          <cell r="AH8">
            <v>0</v>
          </cell>
          <cell r="AI8">
            <v>-2</v>
          </cell>
          <cell r="AJ8">
            <v>0</v>
          </cell>
          <cell r="AK8">
            <v>0</v>
          </cell>
          <cell r="AL8">
            <v>0</v>
          </cell>
          <cell r="AM8">
            <v>0</v>
          </cell>
          <cell r="AN8">
            <v>0</v>
          </cell>
          <cell r="AO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row>
        <row r="15">
          <cell r="C15">
            <v>0</v>
          </cell>
          <cell r="D15">
            <v>0</v>
          </cell>
          <cell r="E15">
            <v>0</v>
          </cell>
          <cell r="F15">
            <v>0</v>
          </cell>
          <cell r="G15">
            <v>0</v>
          </cell>
          <cell r="H15">
            <v>0</v>
          </cell>
          <cell r="I15">
            <v>0</v>
          </cell>
          <cell r="J15">
            <v>0</v>
          </cell>
          <cell r="K15">
            <v>0</v>
          </cell>
          <cell r="L15">
            <v>0</v>
          </cell>
          <cell r="M15">
            <v>-46</v>
          </cell>
          <cell r="N15">
            <v>-18</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-30</v>
          </cell>
          <cell r="AJ17">
            <v>0</v>
          </cell>
          <cell r="AK17">
            <v>0</v>
          </cell>
          <cell r="AL17">
            <v>0</v>
          </cell>
          <cell r="AM17">
            <v>0</v>
          </cell>
          <cell r="AN17">
            <v>0</v>
          </cell>
          <cell r="AO17">
            <v>0</v>
          </cell>
        </row>
        <row r="18">
          <cell r="C18">
            <v>0</v>
          </cell>
          <cell r="D18">
            <v>0</v>
          </cell>
          <cell r="E18">
            <v>0</v>
          </cell>
          <cell r="F18">
            <v>0</v>
          </cell>
          <cell r="G18">
            <v>0</v>
          </cell>
          <cell r="H18">
            <v>0</v>
          </cell>
          <cell r="I18">
            <v>0</v>
          </cell>
          <cell r="J18">
            <v>-2</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-19</v>
          </cell>
          <cell r="AF18">
            <v>0</v>
          </cell>
          <cell r="AG18">
            <v>0</v>
          </cell>
          <cell r="AH18">
            <v>0</v>
          </cell>
          <cell r="AI18">
            <v>0</v>
          </cell>
          <cell r="AJ18">
            <v>0</v>
          </cell>
          <cell r="AK18">
            <v>0</v>
          </cell>
          <cell r="AL18">
            <v>0</v>
          </cell>
          <cell r="AM18">
            <v>0</v>
          </cell>
          <cell r="AN18">
            <v>0</v>
          </cell>
          <cell r="AO18">
            <v>0</v>
          </cell>
        </row>
        <row r="22">
          <cell r="C22">
            <v>0</v>
          </cell>
          <cell r="D22">
            <v>0</v>
          </cell>
          <cell r="E22">
            <v>0</v>
          </cell>
          <cell r="F22">
            <v>0</v>
          </cell>
          <cell r="G22">
            <v>0</v>
          </cell>
          <cell r="H22">
            <v>0</v>
          </cell>
          <cell r="I22">
            <v>0</v>
          </cell>
          <cell r="J22">
            <v>7</v>
          </cell>
          <cell r="K22">
            <v>0</v>
          </cell>
          <cell r="L22">
            <v>0</v>
          </cell>
          <cell r="M22">
            <v>0</v>
          </cell>
          <cell r="N22">
            <v>0</v>
          </cell>
          <cell r="O22">
            <v>0</v>
          </cell>
          <cell r="P22">
            <v>0</v>
          </cell>
          <cell r="Q22">
            <v>0</v>
          </cell>
          <cell r="R22">
            <v>0</v>
          </cell>
          <cell r="S22">
            <v>0</v>
          </cell>
          <cell r="T22">
            <v>3568</v>
          </cell>
          <cell r="U22">
            <v>0</v>
          </cell>
          <cell r="V22">
            <v>0</v>
          </cell>
          <cell r="W22">
            <v>0</v>
          </cell>
          <cell r="X22">
            <v>0</v>
          </cell>
          <cell r="Y22">
            <v>0</v>
          </cell>
          <cell r="Z22">
            <v>0</v>
          </cell>
          <cell r="AA22">
            <v>0</v>
          </cell>
          <cell r="AB22">
            <v>0</v>
          </cell>
          <cell r="AC22">
            <v>234</v>
          </cell>
          <cell r="AD22">
            <v>0</v>
          </cell>
          <cell r="AE22">
            <v>0</v>
          </cell>
          <cell r="AF22">
            <v>0</v>
          </cell>
          <cell r="AG22">
            <v>0</v>
          </cell>
          <cell r="AH22">
            <v>0</v>
          </cell>
          <cell r="AI22">
            <v>3</v>
          </cell>
          <cell r="AJ22">
            <v>0</v>
          </cell>
          <cell r="AK22">
            <v>0</v>
          </cell>
          <cell r="AL22">
            <v>0</v>
          </cell>
          <cell r="AM22">
            <v>0</v>
          </cell>
          <cell r="AN22">
            <v>0</v>
          </cell>
          <cell r="AO22">
            <v>0</v>
          </cell>
        </row>
        <row r="23">
          <cell r="C23">
            <v>0</v>
          </cell>
          <cell r="D23">
            <v>0</v>
          </cell>
          <cell r="E23">
            <v>0</v>
          </cell>
          <cell r="F23">
            <v>0</v>
          </cell>
          <cell r="G23">
            <v>0</v>
          </cell>
          <cell r="H23">
            <v>0</v>
          </cell>
          <cell r="I23">
            <v>0</v>
          </cell>
          <cell r="J23">
            <v>0</v>
          </cell>
          <cell r="K23">
            <v>5</v>
          </cell>
          <cell r="L23">
            <v>7</v>
          </cell>
          <cell r="M23">
            <v>0</v>
          </cell>
          <cell r="N23">
            <v>0</v>
          </cell>
          <cell r="O23">
            <v>0</v>
          </cell>
          <cell r="P23">
            <v>0</v>
          </cell>
          <cell r="Q23">
            <v>0</v>
          </cell>
          <cell r="R23">
            <v>0</v>
          </cell>
          <cell r="S23">
            <v>0</v>
          </cell>
          <cell r="T23">
            <v>9</v>
          </cell>
          <cell r="U23">
            <v>3</v>
          </cell>
          <cell r="V23">
            <v>5</v>
          </cell>
          <cell r="W23">
            <v>0</v>
          </cell>
          <cell r="X23">
            <v>0</v>
          </cell>
          <cell r="Y23">
            <v>0</v>
          </cell>
          <cell r="Z23">
            <v>0</v>
          </cell>
          <cell r="AA23">
            <v>0</v>
          </cell>
          <cell r="AB23">
            <v>0</v>
          </cell>
          <cell r="AC23">
            <v>12</v>
          </cell>
          <cell r="AD23">
            <v>1</v>
          </cell>
          <cell r="AE23">
            <v>12</v>
          </cell>
          <cell r="AF23">
            <v>1</v>
          </cell>
          <cell r="AG23">
            <v>1</v>
          </cell>
          <cell r="AH23">
            <v>1</v>
          </cell>
          <cell r="AI23">
            <v>7</v>
          </cell>
          <cell r="AJ23">
            <v>0</v>
          </cell>
          <cell r="AK23">
            <v>0</v>
          </cell>
          <cell r="AL23">
            <v>0</v>
          </cell>
          <cell r="AM23">
            <v>0</v>
          </cell>
          <cell r="AN23">
            <v>6</v>
          </cell>
          <cell r="AO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168</v>
          </cell>
          <cell r="U24">
            <v>0</v>
          </cell>
          <cell r="V24">
            <v>16</v>
          </cell>
          <cell r="W24">
            <v>0</v>
          </cell>
          <cell r="X24">
            <v>0</v>
          </cell>
          <cell r="Y24">
            <v>0</v>
          </cell>
          <cell r="Z24">
            <v>0</v>
          </cell>
          <cell r="AA24">
            <v>0</v>
          </cell>
          <cell r="AB24">
            <v>0</v>
          </cell>
          <cell r="AC24">
            <v>1</v>
          </cell>
          <cell r="AD24">
            <v>0</v>
          </cell>
          <cell r="AE24">
            <v>0</v>
          </cell>
          <cell r="AF24">
            <v>0</v>
          </cell>
          <cell r="AG24">
            <v>0</v>
          </cell>
          <cell r="AH24">
            <v>0</v>
          </cell>
          <cell r="AI24">
            <v>2</v>
          </cell>
          <cell r="AJ24">
            <v>0</v>
          </cell>
          <cell r="AK24">
            <v>0</v>
          </cell>
          <cell r="AL24">
            <v>0</v>
          </cell>
          <cell r="AM24">
            <v>0</v>
          </cell>
          <cell r="AN24">
            <v>0</v>
          </cell>
          <cell r="AO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3</v>
          </cell>
          <cell r="U25">
            <v>1</v>
          </cell>
          <cell r="V25">
            <v>7</v>
          </cell>
          <cell r="W25">
            <v>0</v>
          </cell>
          <cell r="X25">
            <v>0</v>
          </cell>
          <cell r="Y25">
            <v>0</v>
          </cell>
          <cell r="Z25">
            <v>0</v>
          </cell>
          <cell r="AA25">
            <v>0</v>
          </cell>
          <cell r="AB25">
            <v>0</v>
          </cell>
          <cell r="AC25">
            <v>1</v>
          </cell>
          <cell r="AD25">
            <v>0</v>
          </cell>
          <cell r="AE25">
            <v>98</v>
          </cell>
          <cell r="AF25">
            <v>0</v>
          </cell>
          <cell r="AG25">
            <v>0</v>
          </cell>
          <cell r="AH25">
            <v>0</v>
          </cell>
          <cell r="AI25">
            <v>1</v>
          </cell>
          <cell r="AJ25">
            <v>0</v>
          </cell>
          <cell r="AK25">
            <v>0</v>
          </cell>
          <cell r="AL25">
            <v>0</v>
          </cell>
          <cell r="AM25">
            <v>0</v>
          </cell>
          <cell r="AN25">
            <v>0</v>
          </cell>
          <cell r="AO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5</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row>
        <row r="27">
          <cell r="C27">
            <v>0</v>
          </cell>
          <cell r="D27">
            <v>0</v>
          </cell>
          <cell r="E27">
            <v>0</v>
          </cell>
          <cell r="F27">
            <v>0</v>
          </cell>
          <cell r="G27">
            <v>0</v>
          </cell>
          <cell r="H27">
            <v>0</v>
          </cell>
          <cell r="I27">
            <v>0</v>
          </cell>
          <cell r="J27">
            <v>0</v>
          </cell>
          <cell r="K27">
            <v>0</v>
          </cell>
          <cell r="L27">
            <v>0</v>
          </cell>
          <cell r="M27">
            <v>42</v>
          </cell>
          <cell r="N27">
            <v>16</v>
          </cell>
          <cell r="O27">
            <v>0</v>
          </cell>
          <cell r="P27">
            <v>0</v>
          </cell>
          <cell r="Q27">
            <v>0</v>
          </cell>
          <cell r="R27">
            <v>0</v>
          </cell>
          <cell r="S27">
            <v>0</v>
          </cell>
          <cell r="T27">
            <v>13</v>
          </cell>
          <cell r="U27">
            <v>0</v>
          </cell>
          <cell r="V27">
            <v>0</v>
          </cell>
          <cell r="W27">
            <v>0</v>
          </cell>
          <cell r="X27">
            <v>0</v>
          </cell>
          <cell r="Y27">
            <v>0</v>
          </cell>
          <cell r="Z27">
            <v>0</v>
          </cell>
          <cell r="AA27">
            <v>0</v>
          </cell>
          <cell r="AB27">
            <v>0</v>
          </cell>
          <cell r="AC27">
            <v>1</v>
          </cell>
          <cell r="AD27">
            <v>0</v>
          </cell>
          <cell r="AE27">
            <v>4</v>
          </cell>
          <cell r="AF27">
            <v>0</v>
          </cell>
          <cell r="AG27">
            <v>0</v>
          </cell>
          <cell r="AH27">
            <v>0</v>
          </cell>
          <cell r="AI27">
            <v>5</v>
          </cell>
          <cell r="AJ27">
            <v>3</v>
          </cell>
          <cell r="AK27">
            <v>0</v>
          </cell>
          <cell r="AL27">
            <v>0</v>
          </cell>
          <cell r="AM27">
            <v>0</v>
          </cell>
          <cell r="AN27">
            <v>0</v>
          </cell>
          <cell r="AO27">
            <v>0</v>
          </cell>
        </row>
        <row r="33">
          <cell r="C33">
            <v>406</v>
          </cell>
          <cell r="D33">
            <v>19</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1</v>
          </cell>
          <cell r="AN33">
            <v>0</v>
          </cell>
          <cell r="AO33">
            <v>0</v>
          </cell>
        </row>
        <row r="34">
          <cell r="C34">
            <v>0</v>
          </cell>
          <cell r="D34">
            <v>50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row>
        <row r="35">
          <cell r="C35">
            <v>0</v>
          </cell>
          <cell r="D35">
            <v>4</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row>
        <row r="36">
          <cell r="C36">
            <v>22</v>
          </cell>
          <cell r="D36">
            <v>2</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row>
        <row r="37">
          <cell r="C37">
            <v>0</v>
          </cell>
          <cell r="D37">
            <v>60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30</v>
          </cell>
          <cell r="AN37">
            <v>0</v>
          </cell>
          <cell r="AO37">
            <v>0</v>
          </cell>
        </row>
        <row r="38">
          <cell r="C38">
            <v>1</v>
          </cell>
          <cell r="D38">
            <v>8</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12</v>
          </cell>
          <cell r="AN38">
            <v>0</v>
          </cell>
          <cell r="AO38">
            <v>0</v>
          </cell>
        </row>
        <row r="39">
          <cell r="C39">
            <v>0</v>
          </cell>
          <cell r="D39">
            <v>25</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row>
        <row r="41">
          <cell r="C41">
            <v>0</v>
          </cell>
          <cell r="D41">
            <v>14</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row>
        <row r="42">
          <cell r="C42">
            <v>1</v>
          </cell>
          <cell r="D42">
            <v>31</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row>
        <row r="43">
          <cell r="C43">
            <v>7</v>
          </cell>
          <cell r="D43">
            <v>7</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row>
        <row r="44">
          <cell r="C44">
            <v>21</v>
          </cell>
          <cell r="D44">
            <v>2</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row>
        <row r="45">
          <cell r="C45">
            <v>5</v>
          </cell>
          <cell r="D45">
            <v>11</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row>
        <row r="46">
          <cell r="C46">
            <v>2</v>
          </cell>
          <cell r="D46">
            <v>12</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row>
        <row r="47">
          <cell r="C47">
            <v>0</v>
          </cell>
          <cell r="D47">
            <v>2</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15</v>
          </cell>
        </row>
        <row r="48">
          <cell r="C48">
            <v>0</v>
          </cell>
          <cell r="D48">
            <v>70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row>
        <row r="49">
          <cell r="C49">
            <v>1</v>
          </cell>
          <cell r="D49">
            <v>2</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row>
        <row r="50">
          <cell r="C50">
            <v>0</v>
          </cell>
          <cell r="D50">
            <v>12</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row>
        <row r="51">
          <cell r="C51">
            <v>-1</v>
          </cell>
          <cell r="D51">
            <v>-3</v>
          </cell>
          <cell r="E51">
            <v>0</v>
          </cell>
          <cell r="F51">
            <v>0</v>
          </cell>
          <cell r="G51">
            <v>0</v>
          </cell>
          <cell r="H51">
            <v>0</v>
          </cell>
          <cell r="I51">
            <v>0</v>
          </cell>
          <cell r="J51">
            <v>-41</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row>
        <row r="52">
          <cell r="C52">
            <v>-2</v>
          </cell>
          <cell r="D52">
            <v>-2</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row>
        <row r="53">
          <cell r="C53">
            <v>0</v>
          </cell>
          <cell r="D53">
            <v>13</v>
          </cell>
          <cell r="E53">
            <v>0</v>
          </cell>
          <cell r="F53">
            <v>0</v>
          </cell>
          <cell r="G53">
            <v>0</v>
          </cell>
          <cell r="H53">
            <v>0</v>
          </cell>
          <cell r="I53">
            <v>0</v>
          </cell>
          <cell r="J53">
            <v>0</v>
          </cell>
          <cell r="K53">
            <v>0</v>
          </cell>
          <cell r="L53">
            <v>32</v>
          </cell>
          <cell r="M53">
            <v>0</v>
          </cell>
          <cell r="N53">
            <v>0</v>
          </cell>
          <cell r="O53">
            <v>0</v>
          </cell>
          <cell r="P53">
            <v>0</v>
          </cell>
          <cell r="Q53">
            <v>0</v>
          </cell>
          <cell r="R53">
            <v>0</v>
          </cell>
          <cell r="S53">
            <v>0</v>
          </cell>
          <cell r="T53">
            <v>0</v>
          </cell>
          <cell r="U53">
            <v>0</v>
          </cell>
          <cell r="V53">
            <v>0</v>
          </cell>
          <cell r="W53">
            <v>0</v>
          </cell>
          <cell r="X53">
            <v>36</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row>
      </sheetData>
      <sheetData sheetId="12">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-55</v>
          </cell>
          <cell r="U16">
            <v>0</v>
          </cell>
          <cell r="V16">
            <v>-82</v>
          </cell>
          <cell r="W16">
            <v>-259</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-32</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row>
        <row r="23">
          <cell r="C23">
            <v>0</v>
          </cell>
          <cell r="D23">
            <v>0</v>
          </cell>
          <cell r="E23">
            <v>0</v>
          </cell>
          <cell r="F23">
            <v>1</v>
          </cell>
          <cell r="G23">
            <v>0</v>
          </cell>
          <cell r="H23">
            <v>3</v>
          </cell>
          <cell r="I23">
            <v>3</v>
          </cell>
          <cell r="J23">
            <v>2</v>
          </cell>
          <cell r="K23">
            <v>0</v>
          </cell>
          <cell r="L23">
            <v>0</v>
          </cell>
          <cell r="M23">
            <v>2</v>
          </cell>
          <cell r="N23">
            <v>2</v>
          </cell>
          <cell r="O23">
            <v>3</v>
          </cell>
          <cell r="P23">
            <v>0</v>
          </cell>
          <cell r="Q23">
            <v>0</v>
          </cell>
          <cell r="R23">
            <v>0</v>
          </cell>
          <cell r="S23">
            <v>0</v>
          </cell>
          <cell r="T23">
            <v>0</v>
          </cell>
          <cell r="U23">
            <v>0</v>
          </cell>
          <cell r="V23">
            <v>10</v>
          </cell>
          <cell r="W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row>
        <row r="25">
          <cell r="C25">
            <v>0</v>
          </cell>
          <cell r="D25">
            <v>0</v>
          </cell>
          <cell r="E25">
            <v>0</v>
          </cell>
          <cell r="F25">
            <v>1</v>
          </cell>
          <cell r="G25">
            <v>0</v>
          </cell>
          <cell r="H25">
            <v>0</v>
          </cell>
          <cell r="I25">
            <v>0</v>
          </cell>
          <cell r="J25">
            <v>1</v>
          </cell>
          <cell r="K25">
            <v>0</v>
          </cell>
          <cell r="L25">
            <v>0</v>
          </cell>
          <cell r="M25">
            <v>2</v>
          </cell>
          <cell r="N25">
            <v>0</v>
          </cell>
          <cell r="O25">
            <v>20</v>
          </cell>
          <cell r="P25">
            <v>0</v>
          </cell>
          <cell r="Q25">
            <v>0</v>
          </cell>
          <cell r="R25">
            <v>0</v>
          </cell>
          <cell r="S25">
            <v>0</v>
          </cell>
          <cell r="T25">
            <v>0</v>
          </cell>
          <cell r="U25">
            <v>0</v>
          </cell>
          <cell r="V25">
            <v>0</v>
          </cell>
          <cell r="W25">
            <v>0</v>
          </cell>
        </row>
        <row r="26">
          <cell r="C26">
            <v>0</v>
          </cell>
          <cell r="D26">
            <v>0</v>
          </cell>
          <cell r="E26">
            <v>0</v>
          </cell>
          <cell r="F26">
            <v>0</v>
          </cell>
          <cell r="G26">
            <v>0</v>
          </cell>
          <cell r="H26">
            <v>0</v>
          </cell>
          <cell r="I26">
            <v>0</v>
          </cell>
          <cell r="J26">
            <v>37</v>
          </cell>
          <cell r="K26">
            <v>0</v>
          </cell>
          <cell r="L26">
            <v>0</v>
          </cell>
          <cell r="M26">
            <v>0</v>
          </cell>
          <cell r="N26">
            <v>0</v>
          </cell>
          <cell r="O26">
            <v>0</v>
          </cell>
          <cell r="P26">
            <v>0</v>
          </cell>
          <cell r="Q26">
            <v>0</v>
          </cell>
          <cell r="R26">
            <v>0</v>
          </cell>
          <cell r="S26">
            <v>0</v>
          </cell>
          <cell r="T26">
            <v>0</v>
          </cell>
          <cell r="U26">
            <v>0</v>
          </cell>
          <cell r="V26">
            <v>0</v>
          </cell>
          <cell r="W26">
            <v>0</v>
          </cell>
        </row>
        <row r="27">
          <cell r="C27">
            <v>0</v>
          </cell>
          <cell r="D27">
            <v>0</v>
          </cell>
          <cell r="E27">
            <v>0</v>
          </cell>
          <cell r="F27">
            <v>0</v>
          </cell>
          <cell r="G27">
            <v>0</v>
          </cell>
          <cell r="H27">
            <v>0</v>
          </cell>
          <cell r="I27">
            <v>0</v>
          </cell>
          <cell r="J27">
            <v>0</v>
          </cell>
          <cell r="K27">
            <v>0</v>
          </cell>
          <cell r="L27">
            <v>0</v>
          </cell>
          <cell r="M27">
            <v>1</v>
          </cell>
          <cell r="N27">
            <v>0</v>
          </cell>
          <cell r="O27">
            <v>13</v>
          </cell>
          <cell r="P27">
            <v>0</v>
          </cell>
          <cell r="Q27">
            <v>0</v>
          </cell>
          <cell r="R27">
            <v>0</v>
          </cell>
          <cell r="S27">
            <v>0</v>
          </cell>
          <cell r="T27">
            <v>0</v>
          </cell>
          <cell r="U27">
            <v>0</v>
          </cell>
          <cell r="V27">
            <v>0</v>
          </cell>
          <cell r="W27">
            <v>0</v>
          </cell>
        </row>
        <row r="33">
          <cell r="C33">
            <v>309</v>
          </cell>
          <cell r="D33">
            <v>4</v>
          </cell>
          <cell r="E33">
            <v>127</v>
          </cell>
          <cell r="F33">
            <v>0</v>
          </cell>
          <cell r="G33">
            <v>0</v>
          </cell>
          <cell r="H33">
            <v>0</v>
          </cell>
          <cell r="I33">
            <v>0</v>
          </cell>
          <cell r="J33">
            <v>0</v>
          </cell>
          <cell r="K33">
            <v>0</v>
          </cell>
          <cell r="L33">
            <v>0</v>
          </cell>
          <cell r="M33">
            <v>0</v>
          </cell>
          <cell r="N33">
            <v>0</v>
          </cell>
          <cell r="O33">
            <v>0</v>
          </cell>
          <cell r="P33">
            <v>59</v>
          </cell>
          <cell r="Q33">
            <v>0</v>
          </cell>
          <cell r="R33">
            <v>0</v>
          </cell>
          <cell r="S33">
            <v>0</v>
          </cell>
          <cell r="T33">
            <v>0</v>
          </cell>
          <cell r="U33">
            <v>190</v>
          </cell>
          <cell r="V33">
            <v>0</v>
          </cell>
          <cell r="W33">
            <v>0</v>
          </cell>
        </row>
        <row r="34">
          <cell r="C34">
            <v>0</v>
          </cell>
          <cell r="D34">
            <v>74</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row>
        <row r="35">
          <cell r="C35">
            <v>2</v>
          </cell>
          <cell r="D35">
            <v>1</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row>
        <row r="36">
          <cell r="C36">
            <v>6</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row>
        <row r="37">
          <cell r="C37">
            <v>0</v>
          </cell>
          <cell r="D37">
            <v>5</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row>
        <row r="39">
          <cell r="C39">
            <v>0</v>
          </cell>
          <cell r="D39">
            <v>5</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row>
        <row r="41">
          <cell r="C41">
            <v>0</v>
          </cell>
          <cell r="D41">
            <v>13</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row>
        <row r="42">
          <cell r="C42">
            <v>0</v>
          </cell>
          <cell r="D42">
            <v>80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row>
        <row r="43">
          <cell r="C43">
            <v>5</v>
          </cell>
          <cell r="D43">
            <v>6</v>
          </cell>
          <cell r="E43">
            <v>2</v>
          </cell>
          <cell r="F43">
            <v>0</v>
          </cell>
          <cell r="G43">
            <v>0</v>
          </cell>
          <cell r="H43">
            <v>0</v>
          </cell>
          <cell r="I43">
            <v>0</v>
          </cell>
          <cell r="J43">
            <v>0</v>
          </cell>
          <cell r="K43">
            <v>0</v>
          </cell>
          <cell r="L43">
            <v>0</v>
          </cell>
          <cell r="M43">
            <v>0</v>
          </cell>
          <cell r="N43">
            <v>0</v>
          </cell>
          <cell r="O43">
            <v>0</v>
          </cell>
          <cell r="P43">
            <v>1</v>
          </cell>
          <cell r="Q43">
            <v>0</v>
          </cell>
          <cell r="R43">
            <v>0</v>
          </cell>
          <cell r="S43">
            <v>0</v>
          </cell>
          <cell r="T43">
            <v>0</v>
          </cell>
          <cell r="U43">
            <v>2</v>
          </cell>
          <cell r="V43">
            <v>0</v>
          </cell>
          <cell r="W43">
            <v>0</v>
          </cell>
        </row>
        <row r="44">
          <cell r="C44">
            <v>7</v>
          </cell>
          <cell r="D44">
            <v>4</v>
          </cell>
          <cell r="E44">
            <v>1</v>
          </cell>
          <cell r="F44">
            <v>0</v>
          </cell>
          <cell r="G44">
            <v>0</v>
          </cell>
          <cell r="H44">
            <v>0</v>
          </cell>
          <cell r="I44">
            <v>0</v>
          </cell>
          <cell r="J44">
            <v>0</v>
          </cell>
          <cell r="K44">
            <v>0</v>
          </cell>
          <cell r="L44">
            <v>0</v>
          </cell>
          <cell r="M44">
            <v>0</v>
          </cell>
          <cell r="N44">
            <v>0</v>
          </cell>
          <cell r="O44">
            <v>0</v>
          </cell>
          <cell r="P44">
            <v>4</v>
          </cell>
          <cell r="Q44">
            <v>0</v>
          </cell>
          <cell r="R44">
            <v>0</v>
          </cell>
          <cell r="S44">
            <v>0</v>
          </cell>
          <cell r="T44">
            <v>0</v>
          </cell>
          <cell r="U44">
            <v>2</v>
          </cell>
          <cell r="V44">
            <v>0</v>
          </cell>
          <cell r="W44">
            <v>0</v>
          </cell>
        </row>
        <row r="45">
          <cell r="C45">
            <v>1</v>
          </cell>
          <cell r="D45">
            <v>6</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row>
        <row r="46">
          <cell r="C46">
            <v>0</v>
          </cell>
          <cell r="D46">
            <v>8</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row>
        <row r="47">
          <cell r="C47">
            <v>0</v>
          </cell>
          <cell r="D47">
            <v>1</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row>
        <row r="48">
          <cell r="C48">
            <v>0</v>
          </cell>
          <cell r="D48">
            <v>129</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row>
        <row r="49">
          <cell r="C49">
            <v>0</v>
          </cell>
          <cell r="D49">
            <v>1</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row>
        <row r="50">
          <cell r="C50">
            <v>0</v>
          </cell>
          <cell r="D50">
            <v>1</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row>
        <row r="51">
          <cell r="C51">
            <v>0</v>
          </cell>
          <cell r="D51">
            <v>-6</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row>
        <row r="52">
          <cell r="C52">
            <v>0</v>
          </cell>
          <cell r="D52">
            <v>-3</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row>
        <row r="53">
          <cell r="C53">
            <v>0</v>
          </cell>
          <cell r="D53">
            <v>0</v>
          </cell>
          <cell r="E53">
            <v>0</v>
          </cell>
          <cell r="F53">
            <v>0</v>
          </cell>
          <cell r="G53">
            <v>0</v>
          </cell>
          <cell r="H53">
            <v>0</v>
          </cell>
          <cell r="I53">
            <v>0</v>
          </cell>
          <cell r="J53">
            <v>0</v>
          </cell>
          <cell r="K53">
            <v>0</v>
          </cell>
          <cell r="L53">
            <v>0</v>
          </cell>
          <cell r="M53">
            <v>0</v>
          </cell>
          <cell r="N53">
            <v>0</v>
          </cell>
          <cell r="O53">
            <v>13</v>
          </cell>
          <cell r="P53">
            <v>0</v>
          </cell>
          <cell r="Q53">
            <v>0</v>
          </cell>
          <cell r="R53">
            <v>0</v>
          </cell>
          <cell r="S53">
            <v>0</v>
          </cell>
          <cell r="T53">
            <v>0</v>
          </cell>
          <cell r="U53">
            <v>0</v>
          </cell>
          <cell r="V53">
            <v>0</v>
          </cell>
          <cell r="W53">
            <v>0</v>
          </cell>
        </row>
      </sheetData>
      <sheetData sheetId="13">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-390</v>
          </cell>
          <cell r="AD14">
            <v>0</v>
          </cell>
          <cell r="AE14">
            <v>0</v>
          </cell>
          <cell r="AF14">
            <v>0</v>
          </cell>
        </row>
        <row r="15">
          <cell r="C15">
            <v>0</v>
          </cell>
          <cell r="D15">
            <v>0</v>
          </cell>
          <cell r="E15">
            <v>0</v>
          </cell>
          <cell r="F15">
            <v>0</v>
          </cell>
          <cell r="G15">
            <v>-9</v>
          </cell>
          <cell r="H15">
            <v>-9</v>
          </cell>
          <cell r="I15">
            <v>0</v>
          </cell>
          <cell r="J15">
            <v>0</v>
          </cell>
          <cell r="K15">
            <v>-29</v>
          </cell>
          <cell r="L15">
            <v>0</v>
          </cell>
          <cell r="M15">
            <v>-19</v>
          </cell>
          <cell r="N15">
            <v>-158</v>
          </cell>
          <cell r="O15">
            <v>0</v>
          </cell>
          <cell r="P15">
            <v>-29</v>
          </cell>
          <cell r="Q15">
            <v>-29</v>
          </cell>
          <cell r="R15">
            <v>0</v>
          </cell>
          <cell r="S15">
            <v>0</v>
          </cell>
          <cell r="T15">
            <v>-382</v>
          </cell>
          <cell r="U15">
            <v>-55</v>
          </cell>
          <cell r="V15">
            <v>0</v>
          </cell>
          <cell r="W15">
            <v>0</v>
          </cell>
          <cell r="X15">
            <v>0</v>
          </cell>
          <cell r="Y15">
            <v>0</v>
          </cell>
          <cell r="Z15">
            <v>-56</v>
          </cell>
          <cell r="AA15">
            <v>0</v>
          </cell>
          <cell r="AB15">
            <v>0</v>
          </cell>
          <cell r="AC15">
            <v>0</v>
          </cell>
          <cell r="AD15">
            <v>0</v>
          </cell>
          <cell r="AE15">
            <v>0</v>
          </cell>
          <cell r="AF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row>
        <row r="17">
          <cell r="C17">
            <v>0</v>
          </cell>
          <cell r="D17">
            <v>0</v>
          </cell>
          <cell r="E17">
            <v>0</v>
          </cell>
          <cell r="F17">
            <v>0</v>
          </cell>
          <cell r="G17">
            <v>0</v>
          </cell>
          <cell r="H17">
            <v>0</v>
          </cell>
          <cell r="I17">
            <v>0</v>
          </cell>
          <cell r="J17">
            <v>0</v>
          </cell>
          <cell r="K17">
            <v>0</v>
          </cell>
          <cell r="L17">
            <v>0</v>
          </cell>
          <cell r="M17">
            <v>-2</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-1</v>
          </cell>
          <cell r="AC17">
            <v>0</v>
          </cell>
          <cell r="AD17">
            <v>-1</v>
          </cell>
          <cell r="AE17">
            <v>-4</v>
          </cell>
          <cell r="AF17">
            <v>0</v>
          </cell>
        </row>
        <row r="18">
          <cell r="C18">
            <v>0</v>
          </cell>
          <cell r="D18">
            <v>0</v>
          </cell>
          <cell r="E18">
            <v>0</v>
          </cell>
          <cell r="F18">
            <v>0</v>
          </cell>
          <cell r="G18">
            <v>0</v>
          </cell>
          <cell r="H18">
            <v>0</v>
          </cell>
          <cell r="I18">
            <v>-42</v>
          </cell>
          <cell r="J18">
            <v>-16</v>
          </cell>
          <cell r="K18">
            <v>0</v>
          </cell>
          <cell r="L18">
            <v>0</v>
          </cell>
          <cell r="M18">
            <v>0</v>
          </cell>
          <cell r="N18">
            <v>0</v>
          </cell>
          <cell r="O18">
            <v>0</v>
          </cell>
          <cell r="P18">
            <v>0</v>
          </cell>
          <cell r="Q18">
            <v>0</v>
          </cell>
          <cell r="R18">
            <v>0</v>
          </cell>
          <cell r="S18">
            <v>-150</v>
          </cell>
          <cell r="T18">
            <v>0</v>
          </cell>
          <cell r="U18">
            <v>0</v>
          </cell>
          <cell r="V18">
            <v>-100</v>
          </cell>
          <cell r="W18">
            <v>0</v>
          </cell>
          <cell r="X18">
            <v>0</v>
          </cell>
          <cell r="Y18">
            <v>0</v>
          </cell>
          <cell r="Z18">
            <v>0</v>
          </cell>
          <cell r="AA18">
            <v>0</v>
          </cell>
          <cell r="AB18">
            <v>-60</v>
          </cell>
          <cell r="AC18">
            <v>0</v>
          </cell>
          <cell r="AD18">
            <v>0</v>
          </cell>
          <cell r="AE18">
            <v>0</v>
          </cell>
          <cell r="AF18">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row>
        <row r="23">
          <cell r="C23">
            <v>0</v>
          </cell>
          <cell r="D23">
            <v>0</v>
          </cell>
          <cell r="E23">
            <v>0</v>
          </cell>
          <cell r="F23">
            <v>0</v>
          </cell>
          <cell r="G23">
            <v>1</v>
          </cell>
          <cell r="H23">
            <v>0</v>
          </cell>
          <cell r="I23">
            <v>1</v>
          </cell>
          <cell r="J23">
            <v>1</v>
          </cell>
          <cell r="K23">
            <v>0</v>
          </cell>
          <cell r="L23">
            <v>0</v>
          </cell>
          <cell r="M23">
            <v>0</v>
          </cell>
          <cell r="N23">
            <v>4</v>
          </cell>
          <cell r="O23">
            <v>0</v>
          </cell>
          <cell r="P23">
            <v>0</v>
          </cell>
          <cell r="Q23">
            <v>0</v>
          </cell>
          <cell r="R23">
            <v>0</v>
          </cell>
          <cell r="S23">
            <v>0</v>
          </cell>
          <cell r="T23">
            <v>5</v>
          </cell>
          <cell r="U23">
            <v>0</v>
          </cell>
          <cell r="V23">
            <v>0</v>
          </cell>
          <cell r="W23">
            <v>0</v>
          </cell>
          <cell r="X23">
            <v>0</v>
          </cell>
          <cell r="Y23">
            <v>2</v>
          </cell>
          <cell r="Z23">
            <v>1</v>
          </cell>
          <cell r="AA23">
            <v>0</v>
          </cell>
          <cell r="AB23">
            <v>0</v>
          </cell>
          <cell r="AC23">
            <v>0</v>
          </cell>
          <cell r="AD23">
            <v>0</v>
          </cell>
          <cell r="AE23">
            <v>1</v>
          </cell>
          <cell r="AF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1</v>
          </cell>
          <cell r="AA25">
            <v>0</v>
          </cell>
          <cell r="AB25">
            <v>0</v>
          </cell>
          <cell r="AC25">
            <v>0</v>
          </cell>
          <cell r="AD25">
            <v>0</v>
          </cell>
          <cell r="AE25">
            <v>3</v>
          </cell>
          <cell r="AF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80</v>
          </cell>
          <cell r="U26">
            <v>0</v>
          </cell>
          <cell r="V26">
            <v>0</v>
          </cell>
          <cell r="W26">
            <v>0</v>
          </cell>
          <cell r="X26">
            <v>0</v>
          </cell>
          <cell r="Y26">
            <v>0</v>
          </cell>
          <cell r="Z26">
            <v>0</v>
          </cell>
          <cell r="AA26">
            <v>0</v>
          </cell>
          <cell r="AB26">
            <v>0</v>
          </cell>
          <cell r="AC26">
            <v>0</v>
          </cell>
          <cell r="AD26">
            <v>0</v>
          </cell>
          <cell r="AE26">
            <v>0</v>
          </cell>
          <cell r="AF26">
            <v>12</v>
          </cell>
        </row>
        <row r="27">
          <cell r="C27">
            <v>0</v>
          </cell>
          <cell r="D27">
            <v>0</v>
          </cell>
          <cell r="E27">
            <v>0</v>
          </cell>
          <cell r="F27">
            <v>0</v>
          </cell>
          <cell r="G27">
            <v>0</v>
          </cell>
          <cell r="H27">
            <v>0</v>
          </cell>
          <cell r="I27">
            <v>0</v>
          </cell>
          <cell r="J27">
            <v>0</v>
          </cell>
          <cell r="K27">
            <v>0</v>
          </cell>
          <cell r="L27">
            <v>0</v>
          </cell>
          <cell r="M27">
            <v>0</v>
          </cell>
          <cell r="N27">
            <v>0</v>
          </cell>
          <cell r="O27">
            <v>1</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3</v>
          </cell>
          <cell r="AF27">
            <v>0</v>
          </cell>
        </row>
        <row r="33">
          <cell r="C33">
            <v>214</v>
          </cell>
          <cell r="D33">
            <v>359</v>
          </cell>
          <cell r="E33">
            <v>99</v>
          </cell>
          <cell r="F33">
            <v>2</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row>
        <row r="34">
          <cell r="C34">
            <v>0</v>
          </cell>
          <cell r="D34">
            <v>0</v>
          </cell>
          <cell r="E34">
            <v>31</v>
          </cell>
          <cell r="F34">
            <v>59</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row>
        <row r="35">
          <cell r="C35">
            <v>2</v>
          </cell>
          <cell r="D35">
            <v>0</v>
          </cell>
          <cell r="E35">
            <v>0</v>
          </cell>
          <cell r="F35">
            <v>7</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row>
        <row r="36">
          <cell r="C36">
            <v>5</v>
          </cell>
          <cell r="D36">
            <v>6</v>
          </cell>
          <cell r="E36">
            <v>18</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row>
        <row r="37">
          <cell r="C37">
            <v>0</v>
          </cell>
          <cell r="D37">
            <v>1</v>
          </cell>
          <cell r="E37">
            <v>0</v>
          </cell>
          <cell r="F37">
            <v>8</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row>
        <row r="38">
          <cell r="C38">
            <v>2</v>
          </cell>
          <cell r="D38">
            <v>2</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row>
        <row r="39">
          <cell r="C39">
            <v>0</v>
          </cell>
          <cell r="D39">
            <v>1</v>
          </cell>
          <cell r="E39">
            <v>1</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row>
        <row r="41">
          <cell r="C41">
            <v>0</v>
          </cell>
          <cell r="D41">
            <v>12</v>
          </cell>
          <cell r="E41">
            <v>1</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row>
        <row r="42">
          <cell r="C42">
            <v>0</v>
          </cell>
          <cell r="D42">
            <v>2</v>
          </cell>
          <cell r="E42">
            <v>0</v>
          </cell>
          <cell r="F42">
            <v>67</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row>
        <row r="43">
          <cell r="C43">
            <v>1</v>
          </cell>
          <cell r="D43">
            <v>3</v>
          </cell>
          <cell r="E43">
            <v>5</v>
          </cell>
          <cell r="F43">
            <v>5</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row>
        <row r="44">
          <cell r="C44">
            <v>11</v>
          </cell>
          <cell r="D44">
            <v>13</v>
          </cell>
          <cell r="E44">
            <v>9</v>
          </cell>
          <cell r="F44">
            <v>3</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row>
        <row r="45">
          <cell r="C45">
            <v>0</v>
          </cell>
          <cell r="D45">
            <v>4</v>
          </cell>
          <cell r="E45">
            <v>2</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row>
        <row r="46">
          <cell r="C46">
            <v>0</v>
          </cell>
          <cell r="D46">
            <v>0</v>
          </cell>
          <cell r="E46">
            <v>0</v>
          </cell>
          <cell r="F46">
            <v>7</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row>
        <row r="48">
          <cell r="C48">
            <v>-8</v>
          </cell>
          <cell r="D48">
            <v>0</v>
          </cell>
          <cell r="E48">
            <v>0</v>
          </cell>
          <cell r="F48">
            <v>129</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200</v>
          </cell>
          <cell r="AF48">
            <v>0</v>
          </cell>
        </row>
        <row r="49">
          <cell r="C49">
            <v>0</v>
          </cell>
          <cell r="D49">
            <v>1</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row>
        <row r="50">
          <cell r="C50">
            <v>0</v>
          </cell>
          <cell r="D50">
            <v>2</v>
          </cell>
          <cell r="E50">
            <v>1</v>
          </cell>
          <cell r="F50">
            <v>2</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row>
        <row r="52">
          <cell r="C52">
            <v>0</v>
          </cell>
          <cell r="D52">
            <v>0</v>
          </cell>
          <cell r="E52">
            <v>-2</v>
          </cell>
          <cell r="F52">
            <v>-2</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row>
      </sheetData>
      <sheetData sheetId="14">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row>
        <row r="14">
          <cell r="C14">
            <v>0</v>
          </cell>
          <cell r="D14">
            <v>0</v>
          </cell>
          <cell r="E14">
            <v>0</v>
          </cell>
          <cell r="F14">
            <v>0</v>
          </cell>
          <cell r="G14">
            <v>0</v>
          </cell>
          <cell r="H14">
            <v>0</v>
          </cell>
          <cell r="I14">
            <v>0</v>
          </cell>
          <cell r="J14">
            <v>0</v>
          </cell>
          <cell r="K14">
            <v>0</v>
          </cell>
          <cell r="L14">
            <v>0</v>
          </cell>
          <cell r="M14">
            <v>0</v>
          </cell>
          <cell r="N14">
            <v>-162</v>
          </cell>
          <cell r="O14">
            <v>0</v>
          </cell>
          <cell r="P14">
            <v>0</v>
          </cell>
          <cell r="Q14">
            <v>0</v>
          </cell>
          <cell r="R14">
            <v>0</v>
          </cell>
          <cell r="S14">
            <v>0</v>
          </cell>
          <cell r="T14">
            <v>0</v>
          </cell>
          <cell r="U14">
            <v>0</v>
          </cell>
          <cell r="V14">
            <v>0</v>
          </cell>
          <cell r="W14">
            <v>0</v>
          </cell>
          <cell r="X14">
            <v>0</v>
          </cell>
          <cell r="Y14">
            <v>0</v>
          </cell>
          <cell r="Z14">
            <v>0</v>
          </cell>
          <cell r="AA14">
            <v>0</v>
          </cell>
        </row>
        <row r="15">
          <cell r="C15">
            <v>0</v>
          </cell>
          <cell r="D15">
            <v>0</v>
          </cell>
          <cell r="E15">
            <v>0</v>
          </cell>
          <cell r="F15">
            <v>0</v>
          </cell>
          <cell r="G15">
            <v>-34</v>
          </cell>
          <cell r="H15">
            <v>-25</v>
          </cell>
          <cell r="I15">
            <v>-34</v>
          </cell>
          <cell r="J15">
            <v>-38</v>
          </cell>
          <cell r="K15">
            <v>-30</v>
          </cell>
          <cell r="L15">
            <v>-7</v>
          </cell>
          <cell r="M15">
            <v>-160</v>
          </cell>
          <cell r="N15">
            <v>0</v>
          </cell>
          <cell r="O15">
            <v>0</v>
          </cell>
          <cell r="P15">
            <v>0</v>
          </cell>
          <cell r="Q15">
            <v>0</v>
          </cell>
          <cell r="R15">
            <v>0</v>
          </cell>
          <cell r="S15">
            <v>0</v>
          </cell>
          <cell r="T15">
            <v>0</v>
          </cell>
          <cell r="U15">
            <v>0</v>
          </cell>
          <cell r="V15">
            <v>0</v>
          </cell>
          <cell r="W15">
            <v>0</v>
          </cell>
          <cell r="X15">
            <v>0</v>
          </cell>
          <cell r="Y15">
            <v>0</v>
          </cell>
          <cell r="Z15">
            <v>0</v>
          </cell>
          <cell r="AA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row>
        <row r="18">
          <cell r="C18">
            <v>0</v>
          </cell>
          <cell r="D18">
            <v>0</v>
          </cell>
          <cell r="E18">
            <v>0</v>
          </cell>
          <cell r="F18">
            <v>-8</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-24</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C23">
            <v>0</v>
          </cell>
          <cell r="D23">
            <v>0</v>
          </cell>
          <cell r="E23">
            <v>0</v>
          </cell>
          <cell r="F23">
            <v>0</v>
          </cell>
          <cell r="G23">
            <v>0</v>
          </cell>
          <cell r="H23">
            <v>0</v>
          </cell>
          <cell r="I23">
            <v>0</v>
          </cell>
          <cell r="J23">
            <v>0</v>
          </cell>
          <cell r="K23">
            <v>1</v>
          </cell>
          <cell r="L23">
            <v>0</v>
          </cell>
          <cell r="M23">
            <v>1</v>
          </cell>
          <cell r="N23">
            <v>6</v>
          </cell>
          <cell r="O23">
            <v>0</v>
          </cell>
          <cell r="P23">
            <v>0</v>
          </cell>
          <cell r="Q23">
            <v>0</v>
          </cell>
          <cell r="R23">
            <v>0</v>
          </cell>
          <cell r="S23">
            <v>0</v>
          </cell>
          <cell r="T23">
            <v>0</v>
          </cell>
          <cell r="U23">
            <v>0</v>
          </cell>
          <cell r="V23">
            <v>0</v>
          </cell>
          <cell r="W23">
            <v>0</v>
          </cell>
          <cell r="X23">
            <v>0</v>
          </cell>
          <cell r="Y23">
            <v>0</v>
          </cell>
          <cell r="Z23">
            <v>0</v>
          </cell>
          <cell r="AA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row>
        <row r="25">
          <cell r="C25">
            <v>0</v>
          </cell>
          <cell r="D25">
            <v>0</v>
          </cell>
          <cell r="E25">
            <v>0</v>
          </cell>
          <cell r="F25">
            <v>0</v>
          </cell>
          <cell r="G25">
            <v>6</v>
          </cell>
          <cell r="H25">
            <v>0</v>
          </cell>
          <cell r="I25">
            <v>0</v>
          </cell>
          <cell r="J25">
            <v>1</v>
          </cell>
          <cell r="K25">
            <v>4</v>
          </cell>
          <cell r="L25">
            <v>0</v>
          </cell>
          <cell r="M25">
            <v>4</v>
          </cell>
          <cell r="N25">
            <v>3</v>
          </cell>
          <cell r="O25">
            <v>0</v>
          </cell>
          <cell r="P25">
            <v>0</v>
          </cell>
          <cell r="Q25">
            <v>0</v>
          </cell>
          <cell r="R25">
            <v>0</v>
          </cell>
          <cell r="S25">
            <v>0</v>
          </cell>
          <cell r="T25">
            <v>0</v>
          </cell>
          <cell r="U25">
            <v>0</v>
          </cell>
          <cell r="V25">
            <v>0</v>
          </cell>
          <cell r="W25">
            <v>0</v>
          </cell>
          <cell r="X25">
            <v>0</v>
          </cell>
          <cell r="Y25">
            <v>0</v>
          </cell>
          <cell r="Z25">
            <v>0</v>
          </cell>
          <cell r="AA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C27">
            <v>0</v>
          </cell>
          <cell r="D27">
            <v>0</v>
          </cell>
          <cell r="E27">
            <v>0</v>
          </cell>
          <cell r="F27">
            <v>0</v>
          </cell>
          <cell r="G27">
            <v>0</v>
          </cell>
          <cell r="H27">
            <v>0</v>
          </cell>
          <cell r="I27">
            <v>0</v>
          </cell>
          <cell r="J27">
            <v>0</v>
          </cell>
          <cell r="K27">
            <v>0</v>
          </cell>
          <cell r="L27">
            <v>0</v>
          </cell>
          <cell r="M27">
            <v>0</v>
          </cell>
          <cell r="N27">
            <v>35</v>
          </cell>
          <cell r="O27">
            <v>2</v>
          </cell>
          <cell r="P27">
            <v>0</v>
          </cell>
          <cell r="Q27">
            <v>0</v>
          </cell>
          <cell r="R27">
            <v>0</v>
          </cell>
          <cell r="S27">
            <v>0</v>
          </cell>
          <cell r="T27">
            <v>0</v>
          </cell>
          <cell r="U27">
            <v>0</v>
          </cell>
          <cell r="V27">
            <v>0</v>
          </cell>
          <cell r="W27">
            <v>0</v>
          </cell>
          <cell r="X27">
            <v>0</v>
          </cell>
          <cell r="Y27">
            <v>0</v>
          </cell>
          <cell r="Z27">
            <v>0</v>
          </cell>
          <cell r="AA27">
            <v>0</v>
          </cell>
        </row>
        <row r="33">
          <cell r="C33">
            <v>239</v>
          </cell>
          <cell r="D33">
            <v>4</v>
          </cell>
          <cell r="E33">
            <v>259</v>
          </cell>
          <cell r="F33">
            <v>0</v>
          </cell>
          <cell r="G33">
            <v>0</v>
          </cell>
          <cell r="H33">
            <v>0</v>
          </cell>
          <cell r="I33">
            <v>0</v>
          </cell>
          <cell r="J33">
            <v>0</v>
          </cell>
          <cell r="K33">
            <v>0</v>
          </cell>
          <cell r="L33">
            <v>0</v>
          </cell>
          <cell r="M33">
            <v>0</v>
          </cell>
          <cell r="N33">
            <v>0</v>
          </cell>
          <cell r="O33">
            <v>0</v>
          </cell>
          <cell r="P33">
            <v>0</v>
          </cell>
          <cell r="Q33">
            <v>159</v>
          </cell>
          <cell r="R33">
            <v>0</v>
          </cell>
          <cell r="S33">
            <v>0</v>
          </cell>
          <cell r="T33">
            <v>0</v>
          </cell>
          <cell r="U33">
            <v>0</v>
          </cell>
          <cell r="V33">
            <v>0</v>
          </cell>
          <cell r="W33">
            <v>0</v>
          </cell>
          <cell r="X33">
            <v>0</v>
          </cell>
          <cell r="Y33">
            <v>0</v>
          </cell>
          <cell r="Z33">
            <v>0</v>
          </cell>
          <cell r="AA33">
            <v>0</v>
          </cell>
        </row>
        <row r="34">
          <cell r="C34">
            <v>0</v>
          </cell>
          <cell r="D34">
            <v>59</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C35">
            <v>3</v>
          </cell>
          <cell r="D35">
            <v>1</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v>
          </cell>
        </row>
        <row r="36">
          <cell r="C36">
            <v>15</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C37">
            <v>0</v>
          </cell>
          <cell r="D37">
            <v>2</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1</v>
          </cell>
          <cell r="R38">
            <v>0</v>
          </cell>
          <cell r="S38">
            <v>0</v>
          </cell>
          <cell r="T38">
            <v>0</v>
          </cell>
          <cell r="U38">
            <v>0</v>
          </cell>
          <cell r="V38">
            <v>0</v>
          </cell>
          <cell r="W38">
            <v>0</v>
          </cell>
          <cell r="X38">
            <v>0</v>
          </cell>
          <cell r="Y38">
            <v>0</v>
          </cell>
          <cell r="Z38">
            <v>0</v>
          </cell>
          <cell r="AA38">
            <v>0</v>
          </cell>
        </row>
        <row r="39">
          <cell r="C39">
            <v>0</v>
          </cell>
          <cell r="D39">
            <v>19</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2</v>
          </cell>
          <cell r="R40">
            <v>0</v>
          </cell>
          <cell r="S40">
            <v>0</v>
          </cell>
          <cell r="T40">
            <v>0</v>
          </cell>
          <cell r="U40">
            <v>0</v>
          </cell>
          <cell r="V40">
            <v>0</v>
          </cell>
          <cell r="W40">
            <v>0</v>
          </cell>
          <cell r="X40">
            <v>0</v>
          </cell>
          <cell r="Y40">
            <v>0</v>
          </cell>
          <cell r="Z40">
            <v>0</v>
          </cell>
          <cell r="AA40">
            <v>19</v>
          </cell>
        </row>
        <row r="41">
          <cell r="C41">
            <v>0</v>
          </cell>
          <cell r="D41">
            <v>11</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row>
        <row r="42">
          <cell r="C42">
            <v>0</v>
          </cell>
          <cell r="D42">
            <v>67</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row>
        <row r="43">
          <cell r="C43">
            <v>1</v>
          </cell>
          <cell r="D43">
            <v>7</v>
          </cell>
          <cell r="E43">
            <v>2</v>
          </cell>
          <cell r="F43">
            <v>0</v>
          </cell>
          <cell r="G43">
            <v>0</v>
          </cell>
          <cell r="H43">
            <v>0</v>
          </cell>
          <cell r="I43">
            <v>0</v>
          </cell>
          <cell r="J43">
            <v>0</v>
          </cell>
          <cell r="K43">
            <v>0</v>
          </cell>
          <cell r="L43">
            <v>0</v>
          </cell>
          <cell r="M43">
            <v>0</v>
          </cell>
          <cell r="N43">
            <v>0</v>
          </cell>
          <cell r="O43">
            <v>0</v>
          </cell>
          <cell r="P43">
            <v>0</v>
          </cell>
          <cell r="Q43">
            <v>1</v>
          </cell>
          <cell r="R43">
            <v>0</v>
          </cell>
          <cell r="S43">
            <v>0</v>
          </cell>
          <cell r="T43">
            <v>0</v>
          </cell>
          <cell r="U43">
            <v>0</v>
          </cell>
          <cell r="V43">
            <v>0</v>
          </cell>
          <cell r="W43">
            <v>0</v>
          </cell>
          <cell r="X43">
            <v>0</v>
          </cell>
          <cell r="Y43">
            <v>0</v>
          </cell>
          <cell r="Z43">
            <v>0</v>
          </cell>
          <cell r="AA43">
            <v>0</v>
          </cell>
        </row>
        <row r="44">
          <cell r="C44">
            <v>1</v>
          </cell>
          <cell r="D44">
            <v>7</v>
          </cell>
          <cell r="E44">
            <v>2</v>
          </cell>
          <cell r="F44">
            <v>0</v>
          </cell>
          <cell r="G44">
            <v>0</v>
          </cell>
          <cell r="H44">
            <v>0</v>
          </cell>
          <cell r="I44">
            <v>0</v>
          </cell>
          <cell r="J44">
            <v>0</v>
          </cell>
          <cell r="K44">
            <v>0</v>
          </cell>
          <cell r="L44">
            <v>0</v>
          </cell>
          <cell r="M44">
            <v>0</v>
          </cell>
          <cell r="N44">
            <v>0</v>
          </cell>
          <cell r="O44">
            <v>0</v>
          </cell>
          <cell r="P44">
            <v>0</v>
          </cell>
          <cell r="Q44">
            <v>1</v>
          </cell>
          <cell r="R44">
            <v>0</v>
          </cell>
          <cell r="S44">
            <v>0</v>
          </cell>
          <cell r="T44">
            <v>0</v>
          </cell>
          <cell r="U44">
            <v>0</v>
          </cell>
          <cell r="V44">
            <v>0</v>
          </cell>
          <cell r="W44">
            <v>0</v>
          </cell>
          <cell r="X44">
            <v>0</v>
          </cell>
          <cell r="Y44">
            <v>0</v>
          </cell>
          <cell r="Z44">
            <v>0</v>
          </cell>
          <cell r="AA44">
            <v>1</v>
          </cell>
        </row>
        <row r="45">
          <cell r="C45">
            <v>1</v>
          </cell>
          <cell r="D45">
            <v>5</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C46">
            <v>0</v>
          </cell>
          <cell r="D46">
            <v>7</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row>
        <row r="47">
          <cell r="C47">
            <v>0</v>
          </cell>
          <cell r="D47">
            <v>1</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row>
        <row r="48">
          <cell r="C48">
            <v>-75</v>
          </cell>
          <cell r="D48">
            <v>129</v>
          </cell>
          <cell r="E48">
            <v>0</v>
          </cell>
          <cell r="F48">
            <v>0</v>
          </cell>
          <cell r="G48">
            <v>0</v>
          </cell>
          <cell r="H48">
            <v>0</v>
          </cell>
          <cell r="I48">
            <v>0</v>
          </cell>
          <cell r="J48">
            <v>0</v>
          </cell>
          <cell r="K48">
            <v>0</v>
          </cell>
          <cell r="L48">
            <v>0</v>
          </cell>
          <cell r="M48">
            <v>0</v>
          </cell>
          <cell r="N48">
            <v>0</v>
          </cell>
          <cell r="O48">
            <v>100</v>
          </cell>
          <cell r="P48">
            <v>0</v>
          </cell>
          <cell r="Q48">
            <v>0</v>
          </cell>
          <cell r="R48">
            <v>0</v>
          </cell>
          <cell r="S48">
            <v>0</v>
          </cell>
          <cell r="T48">
            <v>0</v>
          </cell>
          <cell r="U48">
            <v>0</v>
          </cell>
          <cell r="V48">
            <v>0</v>
          </cell>
          <cell r="W48">
            <v>0</v>
          </cell>
          <cell r="X48">
            <v>0</v>
          </cell>
          <cell r="Y48">
            <v>0</v>
          </cell>
          <cell r="Z48">
            <v>0</v>
          </cell>
          <cell r="AA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row>
        <row r="52">
          <cell r="C52">
            <v>0</v>
          </cell>
          <cell r="D52">
            <v>-2</v>
          </cell>
          <cell r="E52">
            <v>-1</v>
          </cell>
          <cell r="F52">
            <v>0</v>
          </cell>
          <cell r="G52">
            <v>0</v>
          </cell>
          <cell r="H52">
            <v>0</v>
          </cell>
          <cell r="I52">
            <v>0</v>
          </cell>
          <cell r="J52">
            <v>0</v>
          </cell>
          <cell r="K52">
            <v>0</v>
          </cell>
          <cell r="L52">
            <v>0</v>
          </cell>
          <cell r="M52">
            <v>0</v>
          </cell>
          <cell r="N52">
            <v>0</v>
          </cell>
          <cell r="O52">
            <v>-30</v>
          </cell>
          <cell r="P52">
            <v>0</v>
          </cell>
          <cell r="Q52">
            <v>0</v>
          </cell>
          <cell r="R52">
            <v>0</v>
          </cell>
          <cell r="S52">
            <v>0</v>
          </cell>
          <cell r="T52">
            <v>0</v>
          </cell>
          <cell r="U52">
            <v>0</v>
          </cell>
          <cell r="V52">
            <v>0</v>
          </cell>
          <cell r="W52">
            <v>0</v>
          </cell>
          <cell r="X52">
            <v>0</v>
          </cell>
          <cell r="Y52">
            <v>0</v>
          </cell>
          <cell r="Z52">
            <v>0</v>
          </cell>
          <cell r="AA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row>
      </sheetData>
      <sheetData sheetId="15">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0</v>
          </cell>
          <cell r="D15">
            <v>0</v>
          </cell>
          <cell r="E15">
            <v>-11</v>
          </cell>
          <cell r="F15">
            <v>-5</v>
          </cell>
          <cell r="G15">
            <v>0</v>
          </cell>
          <cell r="H15">
            <v>0</v>
          </cell>
          <cell r="I15">
            <v>0</v>
          </cell>
          <cell r="J15">
            <v>0</v>
          </cell>
          <cell r="K15">
            <v>0</v>
          </cell>
          <cell r="L15">
            <v>0</v>
          </cell>
          <cell r="M15">
            <v>0</v>
          </cell>
          <cell r="N15">
            <v>0</v>
          </cell>
          <cell r="O15">
            <v>0</v>
          </cell>
          <cell r="P15">
            <v>0</v>
          </cell>
          <cell r="Q15">
            <v>0</v>
          </cell>
          <cell r="R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row>
        <row r="17">
          <cell r="C17">
            <v>0</v>
          </cell>
          <cell r="D17">
            <v>0</v>
          </cell>
          <cell r="E17">
            <v>-12</v>
          </cell>
          <cell r="F17">
            <v>-11</v>
          </cell>
          <cell r="G17">
            <v>-2</v>
          </cell>
          <cell r="H17">
            <v>0</v>
          </cell>
          <cell r="I17">
            <v>0</v>
          </cell>
          <cell r="J17">
            <v>0</v>
          </cell>
          <cell r="K17">
            <v>0</v>
          </cell>
          <cell r="L17">
            <v>0</v>
          </cell>
          <cell r="M17">
            <v>0</v>
          </cell>
          <cell r="N17">
            <v>0</v>
          </cell>
          <cell r="O17">
            <v>0</v>
          </cell>
          <cell r="P17">
            <v>0</v>
          </cell>
          <cell r="Q17">
            <v>0</v>
          </cell>
          <cell r="R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1</v>
          </cell>
        </row>
        <row r="26">
          <cell r="C26">
            <v>0</v>
          </cell>
          <cell r="D26">
            <v>0</v>
          </cell>
          <cell r="E26">
            <v>0</v>
          </cell>
          <cell r="F26">
            <v>0</v>
          </cell>
          <cell r="G26">
            <v>0</v>
          </cell>
          <cell r="H26">
            <v>0</v>
          </cell>
          <cell r="I26">
            <v>0</v>
          </cell>
          <cell r="J26">
            <v>0</v>
          </cell>
          <cell r="K26">
            <v>3</v>
          </cell>
          <cell r="L26">
            <v>0</v>
          </cell>
          <cell r="M26">
            <v>0</v>
          </cell>
          <cell r="N26">
            <v>0</v>
          </cell>
          <cell r="O26">
            <v>0</v>
          </cell>
          <cell r="P26">
            <v>0</v>
          </cell>
          <cell r="Q26">
            <v>0</v>
          </cell>
          <cell r="R26">
            <v>0</v>
          </cell>
        </row>
        <row r="27">
          <cell r="C27">
            <v>0</v>
          </cell>
          <cell r="D27">
            <v>0</v>
          </cell>
          <cell r="E27">
            <v>8</v>
          </cell>
          <cell r="F27">
            <v>0</v>
          </cell>
          <cell r="G27">
            <v>0</v>
          </cell>
          <cell r="H27">
            <v>0</v>
          </cell>
          <cell r="I27">
            <v>0</v>
          </cell>
          <cell r="J27">
            <v>0</v>
          </cell>
          <cell r="K27">
            <v>0</v>
          </cell>
          <cell r="L27">
            <v>0</v>
          </cell>
          <cell r="M27">
            <v>0</v>
          </cell>
          <cell r="N27">
            <v>0</v>
          </cell>
          <cell r="O27">
            <v>0</v>
          </cell>
          <cell r="P27">
            <v>0</v>
          </cell>
          <cell r="Q27">
            <v>7</v>
          </cell>
          <cell r="R27">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row>
        <row r="34">
          <cell r="C34">
            <v>19</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row>
        <row r="45">
          <cell r="C45">
            <v>1</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row>
        <row r="46">
          <cell r="C46">
            <v>6</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C48">
            <v>10</v>
          </cell>
          <cell r="D48">
            <v>75</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-6</v>
          </cell>
          <cell r="R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row>
      </sheetData>
      <sheetData sheetId="16">
        <row r="6">
          <cell r="C6">
            <v>0</v>
          </cell>
          <cell r="D6">
            <v>0</v>
          </cell>
        </row>
        <row r="7">
          <cell r="C7">
            <v>0</v>
          </cell>
          <cell r="D7">
            <v>0</v>
          </cell>
        </row>
        <row r="8">
          <cell r="C8">
            <v>0</v>
          </cell>
          <cell r="D8">
            <v>0</v>
          </cell>
        </row>
        <row r="9">
          <cell r="C9">
            <v>0</v>
          </cell>
          <cell r="D9">
            <v>0</v>
          </cell>
        </row>
        <row r="10">
          <cell r="C10">
            <v>0</v>
          </cell>
          <cell r="D10">
            <v>0</v>
          </cell>
        </row>
        <row r="11">
          <cell r="C11">
            <v>0</v>
          </cell>
          <cell r="D11">
            <v>0</v>
          </cell>
        </row>
        <row r="12">
          <cell r="C12">
            <v>0</v>
          </cell>
          <cell r="D12">
            <v>0</v>
          </cell>
        </row>
        <row r="13">
          <cell r="C13">
            <v>0</v>
          </cell>
          <cell r="D13">
            <v>0</v>
          </cell>
        </row>
        <row r="14">
          <cell r="C14">
            <v>0</v>
          </cell>
          <cell r="D14">
            <v>0</v>
          </cell>
        </row>
        <row r="15">
          <cell r="C15">
            <v>0</v>
          </cell>
          <cell r="D15">
            <v>-301</v>
          </cell>
        </row>
        <row r="16">
          <cell r="C16">
            <v>0</v>
          </cell>
          <cell r="D16">
            <v>0</v>
          </cell>
        </row>
        <row r="17">
          <cell r="C17">
            <v>0</v>
          </cell>
          <cell r="D17">
            <v>0</v>
          </cell>
        </row>
        <row r="18">
          <cell r="C18">
            <v>0</v>
          </cell>
          <cell r="D18">
            <v>0</v>
          </cell>
        </row>
        <row r="22">
          <cell r="C22">
            <v>0</v>
          </cell>
          <cell r="D22">
            <v>0</v>
          </cell>
        </row>
        <row r="23">
          <cell r="C23">
            <v>0</v>
          </cell>
          <cell r="D23">
            <v>8</v>
          </cell>
        </row>
        <row r="24">
          <cell r="C24">
            <v>0</v>
          </cell>
          <cell r="D24">
            <v>0</v>
          </cell>
        </row>
        <row r="25">
          <cell r="C25">
            <v>0</v>
          </cell>
          <cell r="D25">
            <v>0</v>
          </cell>
        </row>
        <row r="26">
          <cell r="C26">
            <v>0</v>
          </cell>
          <cell r="D26">
            <v>0</v>
          </cell>
        </row>
        <row r="27">
          <cell r="C27">
            <v>0</v>
          </cell>
          <cell r="D27">
            <v>150</v>
          </cell>
        </row>
        <row r="33">
          <cell r="C33">
            <v>0</v>
          </cell>
          <cell r="D33">
            <v>0</v>
          </cell>
        </row>
        <row r="34">
          <cell r="C34">
            <v>0</v>
          </cell>
          <cell r="D34">
            <v>0</v>
          </cell>
        </row>
        <row r="35">
          <cell r="C35">
            <v>0</v>
          </cell>
          <cell r="D35">
            <v>0</v>
          </cell>
        </row>
        <row r="36">
          <cell r="C36">
            <v>0</v>
          </cell>
          <cell r="D36">
            <v>0</v>
          </cell>
        </row>
        <row r="37">
          <cell r="C37">
            <v>0</v>
          </cell>
          <cell r="D37">
            <v>0</v>
          </cell>
        </row>
        <row r="38">
          <cell r="C38">
            <v>0</v>
          </cell>
          <cell r="D38">
            <v>0</v>
          </cell>
        </row>
        <row r="39">
          <cell r="C39">
            <v>0</v>
          </cell>
          <cell r="D39">
            <v>0</v>
          </cell>
        </row>
        <row r="40">
          <cell r="C40">
            <v>0</v>
          </cell>
          <cell r="D40">
            <v>0</v>
          </cell>
        </row>
        <row r="41">
          <cell r="C41">
            <v>0</v>
          </cell>
          <cell r="D41">
            <v>0</v>
          </cell>
        </row>
        <row r="42">
          <cell r="C42">
            <v>0</v>
          </cell>
          <cell r="D42">
            <v>0</v>
          </cell>
        </row>
        <row r="43">
          <cell r="C43">
            <v>0</v>
          </cell>
          <cell r="D43">
            <v>0</v>
          </cell>
        </row>
        <row r="44">
          <cell r="C44">
            <v>0</v>
          </cell>
          <cell r="D44">
            <v>0</v>
          </cell>
        </row>
        <row r="45">
          <cell r="C45">
            <v>0</v>
          </cell>
          <cell r="D45">
            <v>0</v>
          </cell>
        </row>
        <row r="46">
          <cell r="C46">
            <v>3</v>
          </cell>
          <cell r="D46">
            <v>0</v>
          </cell>
        </row>
        <row r="47">
          <cell r="C47">
            <v>0</v>
          </cell>
          <cell r="D47">
            <v>0</v>
          </cell>
        </row>
        <row r="48">
          <cell r="C48">
            <v>10</v>
          </cell>
          <cell r="D48">
            <v>0</v>
          </cell>
        </row>
        <row r="49">
          <cell r="C49">
            <v>0</v>
          </cell>
          <cell r="D49">
            <v>0</v>
          </cell>
        </row>
        <row r="50">
          <cell r="C50">
            <v>0</v>
          </cell>
          <cell r="D50">
            <v>0</v>
          </cell>
        </row>
        <row r="51">
          <cell r="C51">
            <v>0</v>
          </cell>
          <cell r="D51">
            <v>0</v>
          </cell>
        </row>
        <row r="52">
          <cell r="C52">
            <v>0</v>
          </cell>
          <cell r="D52">
            <v>0</v>
          </cell>
        </row>
        <row r="53">
          <cell r="C53">
            <v>0</v>
          </cell>
          <cell r="D53">
            <v>0</v>
          </cell>
        </row>
      </sheetData>
      <sheetData sheetId="17">
        <row r="6">
          <cell r="C6">
            <v>0</v>
          </cell>
          <cell r="D6">
            <v>0</v>
          </cell>
          <cell r="E6">
            <v>0</v>
          </cell>
          <cell r="F6">
            <v>0</v>
          </cell>
        </row>
        <row r="7">
          <cell r="C7">
            <v>0</v>
          </cell>
          <cell r="D7">
            <v>0</v>
          </cell>
          <cell r="E7">
            <v>0</v>
          </cell>
          <cell r="F7">
            <v>0</v>
          </cell>
        </row>
        <row r="8">
          <cell r="C8">
            <v>0</v>
          </cell>
          <cell r="D8">
            <v>0</v>
          </cell>
          <cell r="E8">
            <v>0</v>
          </cell>
          <cell r="F8">
            <v>0</v>
          </cell>
        </row>
        <row r="9">
          <cell r="C9">
            <v>0</v>
          </cell>
          <cell r="D9">
            <v>0</v>
          </cell>
          <cell r="E9">
            <v>0</v>
          </cell>
          <cell r="F9">
            <v>0</v>
          </cell>
        </row>
        <row r="10">
          <cell r="C10">
            <v>0</v>
          </cell>
          <cell r="D10">
            <v>0</v>
          </cell>
          <cell r="E10">
            <v>0</v>
          </cell>
          <cell r="F10">
            <v>0</v>
          </cell>
        </row>
        <row r="11">
          <cell r="C11">
            <v>0</v>
          </cell>
          <cell r="D11">
            <v>0</v>
          </cell>
          <cell r="E11">
            <v>0</v>
          </cell>
          <cell r="F11">
            <v>0</v>
          </cell>
        </row>
        <row r="12">
          <cell r="C12">
            <v>0</v>
          </cell>
          <cell r="D12">
            <v>0</v>
          </cell>
          <cell r="E12">
            <v>0</v>
          </cell>
          <cell r="F12">
            <v>0</v>
          </cell>
        </row>
        <row r="13">
          <cell r="C13">
            <v>0</v>
          </cell>
          <cell r="D13">
            <v>0</v>
          </cell>
          <cell r="E13">
            <v>0</v>
          </cell>
          <cell r="F13">
            <v>0</v>
          </cell>
        </row>
        <row r="14">
          <cell r="C14">
            <v>0</v>
          </cell>
          <cell r="D14">
            <v>0</v>
          </cell>
          <cell r="E14">
            <v>0</v>
          </cell>
          <cell r="F14">
            <v>0</v>
          </cell>
        </row>
        <row r="15">
          <cell r="C15">
            <v>0</v>
          </cell>
          <cell r="D15">
            <v>0</v>
          </cell>
          <cell r="E15">
            <v>-187</v>
          </cell>
          <cell r="F15">
            <v>-103</v>
          </cell>
        </row>
        <row r="16">
          <cell r="C16">
            <v>0</v>
          </cell>
          <cell r="D16">
            <v>0</v>
          </cell>
          <cell r="E16">
            <v>0</v>
          </cell>
          <cell r="F16">
            <v>0</v>
          </cell>
        </row>
        <row r="17">
          <cell r="C17">
            <v>0</v>
          </cell>
          <cell r="D17">
            <v>0</v>
          </cell>
          <cell r="E17">
            <v>0</v>
          </cell>
          <cell r="F17">
            <v>0</v>
          </cell>
        </row>
        <row r="18">
          <cell r="C18">
            <v>0</v>
          </cell>
          <cell r="D18">
            <v>0</v>
          </cell>
          <cell r="E18">
            <v>0</v>
          </cell>
          <cell r="F18">
            <v>0</v>
          </cell>
        </row>
        <row r="22">
          <cell r="C22">
            <v>0</v>
          </cell>
          <cell r="D22">
            <v>0</v>
          </cell>
          <cell r="E22">
            <v>0</v>
          </cell>
          <cell r="F22">
            <v>0</v>
          </cell>
        </row>
        <row r="23">
          <cell r="C23">
            <v>0</v>
          </cell>
          <cell r="D23">
            <v>0</v>
          </cell>
          <cell r="E23">
            <v>8</v>
          </cell>
          <cell r="F23">
            <v>0</v>
          </cell>
        </row>
        <row r="24">
          <cell r="C24">
            <v>0</v>
          </cell>
          <cell r="D24">
            <v>0</v>
          </cell>
          <cell r="E24">
            <v>0</v>
          </cell>
          <cell r="F24">
            <v>0</v>
          </cell>
        </row>
        <row r="25">
          <cell r="C25">
            <v>0</v>
          </cell>
          <cell r="D25">
            <v>0</v>
          </cell>
          <cell r="E25">
            <v>0</v>
          </cell>
          <cell r="F25">
            <v>1</v>
          </cell>
        </row>
        <row r="26">
          <cell r="C26">
            <v>0</v>
          </cell>
          <cell r="D26">
            <v>0</v>
          </cell>
          <cell r="E26">
            <v>0</v>
          </cell>
          <cell r="F26">
            <v>0</v>
          </cell>
        </row>
        <row r="27">
          <cell r="C27">
            <v>0</v>
          </cell>
          <cell r="D27">
            <v>0</v>
          </cell>
          <cell r="E27">
            <v>101</v>
          </cell>
          <cell r="F27">
            <v>60</v>
          </cell>
        </row>
        <row r="33">
          <cell r="C33">
            <v>0</v>
          </cell>
          <cell r="D33">
            <v>0</v>
          </cell>
          <cell r="E33">
            <v>0</v>
          </cell>
          <cell r="F33">
            <v>0</v>
          </cell>
        </row>
        <row r="34">
          <cell r="C34">
            <v>3</v>
          </cell>
          <cell r="D34">
            <v>0</v>
          </cell>
          <cell r="E34">
            <v>0</v>
          </cell>
          <cell r="F34">
            <v>0</v>
          </cell>
        </row>
        <row r="35">
          <cell r="C35">
            <v>1</v>
          </cell>
          <cell r="D35">
            <v>0</v>
          </cell>
          <cell r="E35">
            <v>0</v>
          </cell>
          <cell r="F35">
            <v>0</v>
          </cell>
        </row>
        <row r="36">
          <cell r="C36">
            <v>0</v>
          </cell>
          <cell r="D36">
            <v>3</v>
          </cell>
          <cell r="E36">
            <v>0</v>
          </cell>
          <cell r="F36">
            <v>0</v>
          </cell>
        </row>
        <row r="37">
          <cell r="C37">
            <v>0</v>
          </cell>
          <cell r="D37">
            <v>0</v>
          </cell>
          <cell r="E37">
            <v>0</v>
          </cell>
          <cell r="F37">
            <v>0</v>
          </cell>
        </row>
        <row r="38">
          <cell r="C38">
            <v>0</v>
          </cell>
          <cell r="D38">
            <v>0</v>
          </cell>
          <cell r="E38">
            <v>0</v>
          </cell>
          <cell r="F38">
            <v>0</v>
          </cell>
        </row>
        <row r="39">
          <cell r="C39">
            <v>0</v>
          </cell>
          <cell r="D39">
            <v>0</v>
          </cell>
          <cell r="E39">
            <v>0</v>
          </cell>
          <cell r="F39">
            <v>0</v>
          </cell>
        </row>
        <row r="40">
          <cell r="C40">
            <v>0</v>
          </cell>
          <cell r="D40">
            <v>0</v>
          </cell>
          <cell r="E40">
            <v>0</v>
          </cell>
          <cell r="F40">
            <v>0</v>
          </cell>
        </row>
        <row r="41">
          <cell r="C41">
            <v>0</v>
          </cell>
          <cell r="D41">
            <v>0</v>
          </cell>
          <cell r="E41">
            <v>0</v>
          </cell>
          <cell r="F41">
            <v>0</v>
          </cell>
        </row>
        <row r="42">
          <cell r="C42">
            <v>0</v>
          </cell>
          <cell r="D42">
            <v>0</v>
          </cell>
          <cell r="E42">
            <v>0</v>
          </cell>
          <cell r="F42">
            <v>0</v>
          </cell>
        </row>
        <row r="43">
          <cell r="C43">
            <v>0</v>
          </cell>
          <cell r="D43">
            <v>2</v>
          </cell>
          <cell r="E43">
            <v>0</v>
          </cell>
          <cell r="F43">
            <v>0</v>
          </cell>
        </row>
        <row r="44">
          <cell r="C44">
            <v>1</v>
          </cell>
          <cell r="D44">
            <v>0</v>
          </cell>
          <cell r="E44">
            <v>0</v>
          </cell>
          <cell r="F44">
            <v>0</v>
          </cell>
        </row>
        <row r="45">
          <cell r="C45">
            <v>0</v>
          </cell>
          <cell r="D45">
            <v>0</v>
          </cell>
          <cell r="E45">
            <v>0</v>
          </cell>
          <cell r="F45">
            <v>0</v>
          </cell>
        </row>
        <row r="46">
          <cell r="C46">
            <v>2</v>
          </cell>
          <cell r="D46">
            <v>0</v>
          </cell>
          <cell r="E46">
            <v>0</v>
          </cell>
          <cell r="F46">
            <v>0</v>
          </cell>
        </row>
        <row r="47">
          <cell r="C47">
            <v>1</v>
          </cell>
          <cell r="D47">
            <v>0</v>
          </cell>
          <cell r="E47">
            <v>0</v>
          </cell>
          <cell r="F47">
            <v>0</v>
          </cell>
        </row>
        <row r="48">
          <cell r="C48">
            <v>10</v>
          </cell>
          <cell r="D48">
            <v>0</v>
          </cell>
          <cell r="E48">
            <v>0</v>
          </cell>
          <cell r="F48">
            <v>0</v>
          </cell>
        </row>
        <row r="49">
          <cell r="C49">
            <v>0</v>
          </cell>
          <cell r="D49">
            <v>0</v>
          </cell>
          <cell r="E49">
            <v>0</v>
          </cell>
          <cell r="F49">
            <v>0</v>
          </cell>
        </row>
        <row r="50">
          <cell r="C50">
            <v>0</v>
          </cell>
          <cell r="D50">
            <v>0</v>
          </cell>
          <cell r="E50">
            <v>0</v>
          </cell>
          <cell r="F50">
            <v>0</v>
          </cell>
        </row>
        <row r="51">
          <cell r="C51">
            <v>0</v>
          </cell>
          <cell r="D51">
            <v>0</v>
          </cell>
          <cell r="E51">
            <v>0</v>
          </cell>
          <cell r="F51">
            <v>0</v>
          </cell>
        </row>
        <row r="52">
          <cell r="C52">
            <v>0</v>
          </cell>
          <cell r="D52">
            <v>0</v>
          </cell>
          <cell r="E52">
            <v>0</v>
          </cell>
          <cell r="F52">
            <v>0</v>
          </cell>
        </row>
        <row r="53">
          <cell r="C53">
            <v>0</v>
          </cell>
          <cell r="D53">
            <v>0</v>
          </cell>
          <cell r="E53">
            <v>0</v>
          </cell>
          <cell r="F53">
            <v>0</v>
          </cell>
        </row>
      </sheetData>
      <sheetData sheetId="18">
        <row r="6">
          <cell r="C6">
            <v>0</v>
          </cell>
        </row>
        <row r="7">
          <cell r="C7">
            <v>0</v>
          </cell>
        </row>
        <row r="8">
          <cell r="C8">
            <v>0</v>
          </cell>
        </row>
        <row r="9">
          <cell r="C9">
            <v>0</v>
          </cell>
        </row>
        <row r="10">
          <cell r="C10">
            <v>0</v>
          </cell>
        </row>
        <row r="11">
          <cell r="C11">
            <v>0</v>
          </cell>
        </row>
        <row r="12">
          <cell r="C12">
            <v>0</v>
          </cell>
        </row>
        <row r="13">
          <cell r="C13">
            <v>0</v>
          </cell>
        </row>
        <row r="14">
          <cell r="C14">
            <v>0</v>
          </cell>
        </row>
        <row r="15">
          <cell r="C15">
            <v>0</v>
          </cell>
        </row>
        <row r="16">
          <cell r="C16">
            <v>0</v>
          </cell>
        </row>
        <row r="17">
          <cell r="C17">
            <v>0</v>
          </cell>
        </row>
        <row r="18">
          <cell r="C18">
            <v>0</v>
          </cell>
        </row>
        <row r="22">
          <cell r="C22">
            <v>0</v>
          </cell>
        </row>
        <row r="23">
          <cell r="C23">
            <v>0</v>
          </cell>
        </row>
        <row r="24">
          <cell r="C24">
            <v>0</v>
          </cell>
        </row>
        <row r="25">
          <cell r="C25">
            <v>0</v>
          </cell>
        </row>
        <row r="26">
          <cell r="C26">
            <v>0</v>
          </cell>
        </row>
        <row r="27">
          <cell r="C27">
            <v>0</v>
          </cell>
        </row>
        <row r="33">
          <cell r="C33">
            <v>0</v>
          </cell>
        </row>
        <row r="34">
          <cell r="C34">
            <v>17</v>
          </cell>
        </row>
        <row r="35">
          <cell r="C35">
            <v>6</v>
          </cell>
        </row>
        <row r="36">
          <cell r="C36">
            <v>0</v>
          </cell>
        </row>
        <row r="37">
          <cell r="C37">
            <v>2</v>
          </cell>
        </row>
        <row r="38">
          <cell r="C38">
            <v>0</v>
          </cell>
        </row>
        <row r="39">
          <cell r="C39">
            <v>0</v>
          </cell>
        </row>
        <row r="40">
          <cell r="C40">
            <v>0</v>
          </cell>
        </row>
        <row r="41">
          <cell r="C41">
            <v>0</v>
          </cell>
        </row>
        <row r="42">
          <cell r="C42">
            <v>5</v>
          </cell>
        </row>
        <row r="43">
          <cell r="C43">
            <v>1</v>
          </cell>
        </row>
        <row r="44">
          <cell r="C44">
            <v>0</v>
          </cell>
        </row>
        <row r="45">
          <cell r="C45">
            <v>0</v>
          </cell>
        </row>
        <row r="46">
          <cell r="C46">
            <v>2</v>
          </cell>
        </row>
        <row r="47">
          <cell r="C47">
            <v>0</v>
          </cell>
        </row>
        <row r="48">
          <cell r="C48">
            <v>11</v>
          </cell>
        </row>
        <row r="49">
          <cell r="C49">
            <v>0</v>
          </cell>
        </row>
        <row r="50">
          <cell r="C50">
            <v>0</v>
          </cell>
        </row>
        <row r="51">
          <cell r="C51">
            <v>0</v>
          </cell>
        </row>
        <row r="52">
          <cell r="C52">
            <v>0</v>
          </cell>
        </row>
        <row r="53">
          <cell r="C53">
            <v>0</v>
          </cell>
        </row>
      </sheetData>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VT T"/>
      <sheetName val="Etiketten"/>
      <sheetName val="Deckbl"/>
      <sheetName val="KonsI"/>
      <sheetName val="KonsII"/>
      <sheetName val="Budget97"/>
      <sheetName val="Kost"/>
      <sheetName val="Kuch"/>
      <sheetName val="sollist"/>
      <sheetName val="H KG"/>
      <sheetName val="BVT B"/>
      <sheetName val="BVT I"/>
      <sheetName val="Aufbau"/>
      <sheetName val="Invest. Anl."/>
      <sheetName val="Anlagenspiegel"/>
      <sheetName val="AfA-Plan "/>
      <sheetName val="Berechn. EEG-Förderung"/>
      <sheetName val="Gutachten "/>
      <sheetName val="ErlöseAusgabenprognose"/>
      <sheetName val="Pachtplan"/>
      <sheetName val="Tilgungsplan "/>
      <sheetName val="Gewerbeertragssteuer "/>
      <sheetName val="ErgebnisLiquiplan "/>
      <sheetName val="ZwiFi"/>
      <sheetName val="Inv. Sonstiges "/>
      <sheetName val="Inv.Finanzierungsplan "/>
      <sheetName val="Inv.-Fin.plan vorläufig "/>
      <sheetName val="Steuer"/>
      <sheetName val="Rendite"/>
      <sheetName val="RenditeVorsteuer"/>
      <sheetName val="Anteilsfin."/>
      <sheetName val="Steuer Anteilsfin."/>
      <sheetName val="Rendite Anteilsfin."/>
      <sheetName val="Diagr.Gesamtliqui"/>
      <sheetName val="Kapi.bindung"/>
      <sheetName val="Deckungsbeitrag BVT"/>
      <sheetName val="Eingabe Lebenszyklus "/>
      <sheetName val="Lebenszyklus (2)"/>
      <sheetName val="Lebenszyklus DM"/>
      <sheetName val="Lebenszyklus"/>
      <sheetName val="Erträge BVT aus Probebetrieb"/>
      <sheetName val="Gutachten Windconsult"/>
      <sheetName val="BVT_T"/>
      <sheetName val="H_KG"/>
      <sheetName val="BVT_B"/>
      <sheetName val="BVT_I"/>
      <sheetName val="Invest__Anl_"/>
      <sheetName val="AfA-Plan_"/>
      <sheetName val="Berechn__EEG-Förderung"/>
      <sheetName val="Gutachten_"/>
      <sheetName val="Tilgungsplan_"/>
      <sheetName val="Gewerbeertragssteuer_"/>
      <sheetName val="ErgebnisLiquiplan_"/>
      <sheetName val="Inv__Sonstiges_"/>
      <sheetName val="Inv_Finanzierungsplan_"/>
      <sheetName val="Inv_-Fin_plan_vorläufig_"/>
      <sheetName val="Anteilsfin_"/>
      <sheetName val="Steuer_Anteilsfin_"/>
      <sheetName val="Rendite_Anteilsfin_"/>
      <sheetName val="Diagr_Gesamtliqui"/>
      <sheetName val="Kapi_bindung"/>
      <sheetName val="Deckungsbeitrag_BVT"/>
      <sheetName val="Eingabe_Lebenszyklus_"/>
      <sheetName val="Lebenszyklus_(2)"/>
      <sheetName val="Lebenszyklus_DM"/>
      <sheetName val="Erträge_BVT_aus_Probebetrieb"/>
      <sheetName val="Gutachten_Windcons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9">
          <cell r="C9">
            <v>0.90109294539127405</v>
          </cell>
        </row>
        <row r="11">
          <cell r="C11">
            <v>0.04</v>
          </cell>
        </row>
        <row r="13">
          <cell r="C13">
            <v>0.04</v>
          </cell>
        </row>
        <row r="15">
          <cell r="C15">
            <v>1.8907054608725958E-2</v>
          </cell>
        </row>
        <row r="17">
          <cell r="C17">
            <v>1</v>
          </cell>
        </row>
        <row r="22">
          <cell r="C22">
            <v>0.36153846153846153</v>
          </cell>
        </row>
        <row r="24">
          <cell r="C24">
            <v>0.63846153846153841</v>
          </cell>
        </row>
        <row r="26">
          <cell r="C26">
            <v>1</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9">
          <cell r="C9">
            <v>0.90109294539127405</v>
          </cell>
        </row>
      </sheetData>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wendung"/>
      <sheetName val="Simulation"/>
      <sheetName val="Umsatz"/>
      <sheetName val="Berechnung Zielgewinn"/>
      <sheetName val="Erfahrungskurve"/>
      <sheetName val="Stückkalkulation prop HK"/>
      <sheetName val="Rekap Eckwerte"/>
      <sheetName val="Barwert der Strategie"/>
      <sheetName val="Berechnung_Zielgewinn"/>
      <sheetName val="Stückkalkulation_prop_HK"/>
      <sheetName val="Rekap_Eckwerte"/>
      <sheetName val="Barwert_der_Strategie"/>
    </sheetNames>
    <sheetDataSet>
      <sheetData sheetId="0"/>
      <sheetData sheetId="1">
        <row r="33">
          <cell r="C33">
            <v>0.12133333333333332</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spektdarstellung"/>
      <sheetName val="Darstellung Prospekt"/>
      <sheetName val="Prospektrechnung"/>
      <sheetName val="St.Ergebnis"/>
      <sheetName val="liquidity"/>
      <sheetName val="profit &amp; loss"/>
      <sheetName val="Verbrauch Afa"/>
      <sheetName val="Annahmen Berechnung"/>
      <sheetName val="IRR Berechnung"/>
      <sheetName val="Ergebnisvert. PE"/>
      <sheetName val="Ergebnis-Vorab"/>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a:themeElements>
    <a:clrScheme name="Agritech Solutions">
      <a:dk1>
        <a:sysClr val="windowText" lastClr="000000"/>
      </a:dk1>
      <a:lt1>
        <a:sysClr val="window" lastClr="FFFFFF"/>
      </a:lt1>
      <a:dk2>
        <a:srgbClr val="000000"/>
      </a:dk2>
      <a:lt2>
        <a:srgbClr val="FFFFFF"/>
      </a:lt2>
      <a:accent1>
        <a:srgbClr val="3C7460"/>
      </a:accent1>
      <a:accent2>
        <a:srgbClr val="B3C43E"/>
      </a:accent2>
      <a:accent3>
        <a:srgbClr val="007577"/>
      </a:accent3>
      <a:accent4>
        <a:srgbClr val="FFFFFF"/>
      </a:accent4>
      <a:accent5>
        <a:srgbClr val="FFFFFF"/>
      </a:accent5>
      <a:accent6>
        <a:srgbClr val="FFFFFF"/>
      </a:accent6>
      <a:hlink>
        <a:srgbClr val="0563C1"/>
      </a:hlink>
      <a:folHlink>
        <a:srgbClr val="954F72"/>
      </a:folHlink>
    </a:clrScheme>
    <a:fontScheme name="Agritech Solutions">
      <a:majorFont>
        <a:latin typeface="Gill Sans Nova"/>
        <a:ea typeface=""/>
        <a:cs typeface=""/>
      </a:majorFont>
      <a:minorFont>
        <a:latin typeface="Gill Sans Nova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info@aue-spitzoed.de" TargetMode="Externa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info@aue-spitzoed.de" TargetMode="Externa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EC96-B139-4862-BF7F-1DAD5B90C429}">
  <sheetPr>
    <tabColor theme="0"/>
    <pageSetUpPr fitToPage="1"/>
  </sheetPr>
  <dimension ref="A2:L28"/>
  <sheetViews>
    <sheetView zoomScale="70" zoomScaleNormal="100" zoomScalePageLayoutView="70" workbookViewId="0">
      <selection activeCell="I22" sqref="I22"/>
    </sheetView>
  </sheetViews>
  <sheetFormatPr baseColWidth="10" defaultColWidth="11.5546875" defaultRowHeight="15"/>
  <cols>
    <col min="1" max="1" width="35.44140625" style="270" customWidth="1"/>
    <col min="2" max="2" width="18" style="268" customWidth="1"/>
    <col min="3" max="3" width="27.44140625" style="270" customWidth="1"/>
    <col min="4" max="4" width="18" style="270" bestFit="1" customWidth="1"/>
    <col min="5" max="5" width="7.21875" style="270" customWidth="1"/>
    <col min="6" max="6" width="16.44140625" style="270" customWidth="1"/>
    <col min="7" max="7" width="14.6640625" style="270" customWidth="1"/>
    <col min="8" max="8" width="14.44140625" style="270" customWidth="1"/>
    <col min="9" max="9" width="14.77734375" style="321" customWidth="1"/>
    <col min="10" max="10" width="14.77734375" style="322" customWidth="1"/>
    <col min="11" max="11" width="14.77734375" style="323" customWidth="1"/>
    <col min="12" max="12" width="14.77734375" style="321" customWidth="1"/>
    <col min="13" max="16384" width="11.5546875" style="270"/>
  </cols>
  <sheetData>
    <row r="2" spans="1:12" ht="19.5">
      <c r="A2" s="267" t="s">
        <v>168</v>
      </c>
    </row>
    <row r="3" spans="1:12" s="326" customFormat="1" ht="21">
      <c r="A3" s="324" t="s">
        <v>183</v>
      </c>
      <c r="B3" s="325"/>
      <c r="I3" s="327"/>
      <c r="J3" s="328"/>
      <c r="K3" s="329"/>
      <c r="L3" s="327"/>
    </row>
    <row r="4" spans="1:12" s="327" customFormat="1" ht="30" customHeight="1">
      <c r="A4" s="330"/>
      <c r="B4" s="331"/>
      <c r="J4" s="328"/>
      <c r="K4" s="328"/>
    </row>
    <row r="5" spans="1:12" s="336" customFormat="1">
      <c r="A5" s="332" t="s">
        <v>0</v>
      </c>
      <c r="B5" s="333">
        <v>46085</v>
      </c>
      <c r="C5" s="334" t="s">
        <v>90</v>
      </c>
      <c r="D5" s="335"/>
      <c r="G5" s="337" t="s">
        <v>104</v>
      </c>
      <c r="H5" s="338" t="s">
        <v>169</v>
      </c>
      <c r="I5" s="339"/>
      <c r="J5" s="340"/>
      <c r="K5" s="341"/>
      <c r="L5" s="339"/>
    </row>
    <row r="6" spans="1:12" s="336" customFormat="1" ht="30">
      <c r="A6" s="342" t="s">
        <v>93</v>
      </c>
      <c r="B6" s="343" t="s">
        <v>89</v>
      </c>
      <c r="C6" s="334" t="s">
        <v>91</v>
      </c>
      <c r="D6" s="393"/>
      <c r="G6" s="337" t="s">
        <v>105</v>
      </c>
      <c r="H6" s="338" t="s">
        <v>169</v>
      </c>
      <c r="I6" s="339"/>
      <c r="J6" s="340"/>
      <c r="K6" s="341"/>
      <c r="L6" s="339"/>
    </row>
    <row r="7" spans="1:12" s="336" customFormat="1">
      <c r="A7" s="344"/>
      <c r="B7" s="343"/>
      <c r="D7" s="393"/>
      <c r="I7" s="345"/>
      <c r="J7" s="346"/>
      <c r="K7" s="341"/>
      <c r="L7" s="345"/>
    </row>
    <row r="8" spans="1:12" s="336" customFormat="1" ht="15.75" customHeight="1">
      <c r="B8" s="347"/>
      <c r="F8" s="348"/>
      <c r="G8" s="348"/>
      <c r="H8" s="349"/>
      <c r="I8" s="350"/>
      <c r="J8" s="351"/>
      <c r="K8" s="341"/>
      <c r="L8" s="350"/>
    </row>
    <row r="9" spans="1:12" s="336" customFormat="1" ht="19.5" customHeight="1">
      <c r="A9" s="394" t="s">
        <v>185</v>
      </c>
      <c r="B9" s="395"/>
      <c r="C9" s="395" t="s">
        <v>184</v>
      </c>
      <c r="D9" s="395"/>
      <c r="E9" s="395"/>
      <c r="F9" s="395"/>
      <c r="G9" s="395"/>
      <c r="H9" s="395"/>
      <c r="I9" s="395"/>
      <c r="J9" s="395"/>
      <c r="K9" s="395"/>
      <c r="L9" s="395"/>
    </row>
    <row r="10" spans="1:12" s="297" customFormat="1" ht="30">
      <c r="A10" s="352" t="s">
        <v>87</v>
      </c>
      <c r="B10" s="353" t="s">
        <v>88</v>
      </c>
      <c r="C10" s="354" t="s">
        <v>101</v>
      </c>
      <c r="D10" s="356" t="s">
        <v>97</v>
      </c>
      <c r="E10" s="357" t="s">
        <v>98</v>
      </c>
      <c r="F10" s="358" t="s">
        <v>99</v>
      </c>
      <c r="G10" s="359" t="s">
        <v>172</v>
      </c>
      <c r="H10" s="360" t="s">
        <v>102</v>
      </c>
      <c r="I10" s="361" t="s">
        <v>151</v>
      </c>
      <c r="J10" s="362" t="s">
        <v>173</v>
      </c>
      <c r="K10" s="363" t="s">
        <v>103</v>
      </c>
      <c r="L10" s="361" t="s">
        <v>176</v>
      </c>
    </row>
    <row r="11" spans="1:12" s="304" customFormat="1" ht="33.950000000000003" customHeight="1">
      <c r="A11" s="364" t="s">
        <v>177</v>
      </c>
      <c r="B11" s="374" t="s">
        <v>92</v>
      </c>
      <c r="C11" s="364"/>
      <c r="D11" s="365"/>
      <c r="E11" s="366"/>
      <c r="F11" s="367"/>
      <c r="G11" s="368"/>
      <c r="H11" s="369"/>
      <c r="I11" s="370"/>
      <c r="J11" s="371" t="s">
        <v>175</v>
      </c>
      <c r="K11" s="371"/>
      <c r="L11" s="392"/>
    </row>
    <row r="12" spans="1:12" s="304" customFormat="1" ht="33.950000000000003" customHeight="1">
      <c r="A12" s="373"/>
      <c r="B12" s="374"/>
      <c r="C12" s="373"/>
      <c r="D12" s="375"/>
      <c r="E12" s="376"/>
      <c r="F12" s="377"/>
      <c r="G12" s="368"/>
      <c r="H12" s="378"/>
      <c r="I12" s="370"/>
      <c r="J12" s="371"/>
      <c r="K12" s="371"/>
      <c r="L12" s="372"/>
    </row>
    <row r="13" spans="1:12" s="304" customFormat="1" ht="33.950000000000003" customHeight="1">
      <c r="A13" s="373"/>
      <c r="B13" s="374"/>
      <c r="C13" s="373"/>
      <c r="D13" s="375"/>
      <c r="E13" s="376"/>
      <c r="F13" s="377"/>
      <c r="G13" s="379"/>
      <c r="H13" s="380"/>
      <c r="I13" s="370"/>
      <c r="J13" s="371"/>
      <c r="K13" s="371"/>
      <c r="L13" s="381"/>
    </row>
    <row r="14" spans="1:12" s="304" customFormat="1" ht="33.950000000000003" customHeight="1">
      <c r="A14" s="373"/>
      <c r="B14" s="374"/>
      <c r="C14" s="373"/>
      <c r="D14" s="375"/>
      <c r="E14" s="376"/>
      <c r="F14" s="377"/>
      <c r="G14" s="379"/>
      <c r="H14" s="378"/>
      <c r="I14" s="370"/>
      <c r="J14" s="371"/>
      <c r="K14" s="371"/>
      <c r="L14" s="372"/>
    </row>
    <row r="15" spans="1:12" s="304" customFormat="1" ht="33.950000000000003" customHeight="1">
      <c r="A15" s="373"/>
      <c r="B15" s="374"/>
      <c r="C15" s="373"/>
      <c r="D15" s="375"/>
      <c r="E15" s="376"/>
      <c r="F15" s="377"/>
      <c r="G15" s="382"/>
      <c r="H15" s="378"/>
      <c r="I15" s="370"/>
      <c r="J15" s="371"/>
      <c r="K15" s="371"/>
      <c r="L15" s="372"/>
    </row>
    <row r="16" spans="1:12" s="304" customFormat="1" ht="33.950000000000003" customHeight="1">
      <c r="A16" s="373"/>
      <c r="B16" s="374"/>
      <c r="C16" s="373"/>
      <c r="D16" s="375"/>
      <c r="E16" s="376"/>
      <c r="F16" s="377"/>
      <c r="G16" s="379"/>
      <c r="H16" s="378"/>
      <c r="I16" s="370"/>
      <c r="J16" s="371"/>
      <c r="K16" s="371"/>
      <c r="L16" s="372"/>
    </row>
    <row r="17" spans="1:12" s="304" customFormat="1" ht="33.950000000000003" customHeight="1">
      <c r="A17" s="373"/>
      <c r="B17" s="374"/>
      <c r="C17" s="373"/>
      <c r="D17" s="375"/>
      <c r="E17" s="376"/>
      <c r="F17" s="377"/>
      <c r="G17" s="379"/>
      <c r="H17" s="378"/>
      <c r="I17" s="370"/>
      <c r="J17" s="380"/>
      <c r="K17" s="371"/>
      <c r="L17" s="372"/>
    </row>
    <row r="18" spans="1:12" s="304" customFormat="1" ht="33.950000000000003" customHeight="1">
      <c r="A18" s="373"/>
      <c r="B18" s="374"/>
      <c r="C18" s="373"/>
      <c r="D18" s="375"/>
      <c r="E18" s="376"/>
      <c r="F18" s="377"/>
      <c r="G18" s="379"/>
      <c r="H18" s="378"/>
      <c r="I18" s="370"/>
      <c r="J18" s="380"/>
      <c r="K18" s="371"/>
      <c r="L18" s="372"/>
    </row>
    <row r="19" spans="1:12" s="304" customFormat="1" ht="33.950000000000003" customHeight="1">
      <c r="A19" s="373"/>
      <c r="B19" s="374"/>
      <c r="C19" s="373"/>
      <c r="D19" s="375"/>
      <c r="E19" s="376"/>
      <c r="F19" s="377"/>
      <c r="G19" s="379"/>
      <c r="H19" s="378"/>
      <c r="I19" s="370"/>
      <c r="J19" s="380"/>
      <c r="K19" s="371"/>
      <c r="L19" s="372"/>
    </row>
    <row r="20" spans="1:12" s="304" customFormat="1" ht="33.950000000000003" customHeight="1">
      <c r="A20" s="373"/>
      <c r="B20" s="374"/>
      <c r="C20" s="373"/>
      <c r="D20" s="375"/>
      <c r="E20" s="376"/>
      <c r="F20" s="377"/>
      <c r="G20" s="379"/>
      <c r="H20" s="378"/>
      <c r="I20" s="383"/>
      <c r="J20" s="380"/>
      <c r="K20" s="371"/>
      <c r="L20" s="372"/>
    </row>
    <row r="21" spans="1:12" s="304" customFormat="1" ht="33.950000000000003" customHeight="1">
      <c r="A21" s="373"/>
      <c r="B21" s="374"/>
      <c r="C21" s="373"/>
      <c r="D21" s="375"/>
      <c r="E21" s="376"/>
      <c r="F21" s="377"/>
      <c r="G21" s="379"/>
      <c r="H21" s="378"/>
      <c r="I21" s="383"/>
      <c r="J21" s="380"/>
      <c r="K21" s="371"/>
      <c r="L21" s="372"/>
    </row>
    <row r="22" spans="1:12" s="304" customFormat="1">
      <c r="A22" s="384"/>
      <c r="B22" s="385"/>
      <c r="C22" s="386"/>
      <c r="D22" s="387"/>
      <c r="E22" s="388"/>
      <c r="F22" s="387"/>
      <c r="G22" s="387"/>
      <c r="H22" s="387"/>
      <c r="I22" s="389"/>
      <c r="J22" s="390"/>
      <c r="K22" s="371"/>
      <c r="L22" s="389"/>
    </row>
    <row r="23" spans="1:12">
      <c r="K23" s="371"/>
    </row>
    <row r="24" spans="1:12">
      <c r="K24" s="371"/>
    </row>
    <row r="25" spans="1:12">
      <c r="K25" s="371"/>
    </row>
    <row r="26" spans="1:12">
      <c r="K26" s="371"/>
    </row>
    <row r="27" spans="1:12">
      <c r="K27" s="371"/>
    </row>
    <row r="28" spans="1:12">
      <c r="K28" s="371"/>
    </row>
  </sheetData>
  <sheetProtection selectLockedCells="1"/>
  <mergeCells count="3">
    <mergeCell ref="D6:D7"/>
    <mergeCell ref="A9:B9"/>
    <mergeCell ref="C9:L9"/>
  </mergeCells>
  <pageMargins left="0.59055118110236227" right="0.59055118110236227" top="1.1417322834645669" bottom="0.74803149606299213" header="0.31496062992125984" footer="0.31496062992125984"/>
  <pageSetup paperSize="8" scale="77" fitToHeight="0" orientation="landscape" r:id="rId1"/>
  <headerFooter>
    <oddHeader>&amp;R&amp;G</oddHeader>
    <oddFooter>&amp;L&amp;"-,Standard"&amp;10Agritech Solutions GmbH&amp;C&amp;"-,Standard"&amp;10Rev. 00&amp;R&amp;"-,Standard"&amp;10Seite &amp;P von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2E10-F3FA-4E63-ABF8-DDBC64C24A38}">
  <sheetPr>
    <tabColor theme="0"/>
    <pageSetUpPr fitToPage="1"/>
  </sheetPr>
  <dimension ref="A2:N28"/>
  <sheetViews>
    <sheetView zoomScale="70" zoomScaleNormal="100" zoomScalePageLayoutView="70" workbookViewId="0">
      <selection activeCell="F21" sqref="F21"/>
    </sheetView>
  </sheetViews>
  <sheetFormatPr baseColWidth="10" defaultColWidth="11.5546875" defaultRowHeight="15"/>
  <cols>
    <col min="1" max="1" width="35.44140625" style="270" customWidth="1"/>
    <col min="2" max="2" width="18" style="268" customWidth="1"/>
    <col min="3" max="3" width="27.44140625" style="270" customWidth="1"/>
    <col min="4" max="4" width="12.5546875" style="270" customWidth="1"/>
    <col min="5" max="5" width="18" style="270" bestFit="1" customWidth="1"/>
    <col min="6" max="6" width="7.21875" style="270" customWidth="1"/>
    <col min="7" max="7" width="16.44140625" style="270" customWidth="1"/>
    <col min="8" max="8" width="14.6640625" style="270" customWidth="1"/>
    <col min="9" max="9" width="14.44140625" style="270" customWidth="1"/>
    <col min="10" max="10" width="14.77734375" style="321" customWidth="1"/>
    <col min="11" max="11" width="14.77734375" style="322" customWidth="1"/>
    <col min="12" max="12" width="14.77734375" style="323" customWidth="1"/>
    <col min="13" max="13" width="14.77734375" style="270" customWidth="1"/>
    <col min="14" max="14" width="14.77734375" style="321" customWidth="1"/>
    <col min="15" max="16384" width="11.5546875" style="270"/>
  </cols>
  <sheetData>
    <row r="2" spans="1:14" ht="19.5">
      <c r="A2" s="267" t="s">
        <v>168</v>
      </c>
    </row>
    <row r="3" spans="1:14" s="326" customFormat="1" ht="21">
      <c r="A3" s="324" t="s">
        <v>178</v>
      </c>
      <c r="B3" s="325"/>
      <c r="J3" s="327"/>
      <c r="K3" s="328"/>
      <c r="L3" s="329"/>
      <c r="N3" s="327"/>
    </row>
    <row r="4" spans="1:14" s="327" customFormat="1" ht="30" customHeight="1">
      <c r="A4" s="330"/>
      <c r="B4" s="331"/>
      <c r="K4" s="328"/>
      <c r="L4" s="328"/>
    </row>
    <row r="5" spans="1:14" s="336" customFormat="1">
      <c r="A5" s="332" t="s">
        <v>0</v>
      </c>
      <c r="B5" s="333">
        <v>46085</v>
      </c>
      <c r="C5" s="334" t="s">
        <v>90</v>
      </c>
      <c r="D5" s="334"/>
      <c r="E5" s="335"/>
      <c r="H5" s="337" t="s">
        <v>104</v>
      </c>
      <c r="I5" s="338" t="s">
        <v>169</v>
      </c>
      <c r="J5" s="339"/>
      <c r="K5" s="340"/>
      <c r="L5" s="341"/>
      <c r="N5" s="339"/>
    </row>
    <row r="6" spans="1:14" s="336" customFormat="1" ht="30">
      <c r="A6" s="342" t="s">
        <v>93</v>
      </c>
      <c r="B6" s="343" t="s">
        <v>89</v>
      </c>
      <c r="C6" s="334" t="s">
        <v>91</v>
      </c>
      <c r="D6" s="334"/>
      <c r="E6" s="393"/>
      <c r="H6" s="337" t="s">
        <v>105</v>
      </c>
      <c r="I6" s="338" t="s">
        <v>169</v>
      </c>
      <c r="J6" s="339"/>
      <c r="K6" s="340"/>
      <c r="L6" s="341"/>
      <c r="N6" s="339"/>
    </row>
    <row r="7" spans="1:14" s="336" customFormat="1">
      <c r="A7" s="344"/>
      <c r="B7" s="343"/>
      <c r="E7" s="393"/>
      <c r="J7" s="345"/>
      <c r="K7" s="346"/>
      <c r="L7" s="341"/>
      <c r="N7" s="345"/>
    </row>
    <row r="8" spans="1:14" s="336" customFormat="1" ht="15.75" customHeight="1">
      <c r="B8" s="347"/>
      <c r="G8" s="348"/>
      <c r="H8" s="348"/>
      <c r="I8" s="349"/>
      <c r="J8" s="350"/>
      <c r="K8" s="351"/>
      <c r="L8" s="341"/>
      <c r="N8" s="350"/>
    </row>
    <row r="9" spans="1:14" s="336" customFormat="1" ht="19.5" customHeight="1">
      <c r="A9" s="394" t="s">
        <v>100</v>
      </c>
      <c r="B9" s="395"/>
      <c r="C9" s="395" t="s">
        <v>171</v>
      </c>
      <c r="D9" s="395"/>
      <c r="E9" s="395"/>
      <c r="F9" s="395"/>
      <c r="G9" s="395"/>
      <c r="H9" s="395"/>
      <c r="I9" s="395"/>
      <c r="J9" s="395"/>
      <c r="K9" s="395"/>
      <c r="L9" s="395"/>
      <c r="M9" s="395"/>
      <c r="N9" s="395"/>
    </row>
    <row r="10" spans="1:14" s="297" customFormat="1" ht="30">
      <c r="A10" s="352" t="s">
        <v>87</v>
      </c>
      <c r="B10" s="353" t="s">
        <v>88</v>
      </c>
      <c r="C10" s="354" t="s">
        <v>101</v>
      </c>
      <c r="D10" s="355" t="s">
        <v>154</v>
      </c>
      <c r="E10" s="356" t="s">
        <v>97</v>
      </c>
      <c r="F10" s="357" t="s">
        <v>98</v>
      </c>
      <c r="G10" s="358" t="s">
        <v>99</v>
      </c>
      <c r="H10" s="359" t="s">
        <v>172</v>
      </c>
      <c r="I10" s="360" t="s">
        <v>102</v>
      </c>
      <c r="J10" s="361" t="s">
        <v>151</v>
      </c>
      <c r="K10" s="362" t="s">
        <v>173</v>
      </c>
      <c r="L10" s="363" t="s">
        <v>103</v>
      </c>
      <c r="M10" s="361" t="s">
        <v>174</v>
      </c>
      <c r="N10" s="361" t="s">
        <v>176</v>
      </c>
    </row>
    <row r="11" spans="1:14" s="304" customFormat="1" ht="33.950000000000003" customHeight="1">
      <c r="A11" s="364" t="s">
        <v>177</v>
      </c>
      <c r="B11" s="374" t="s">
        <v>92</v>
      </c>
      <c r="C11" s="364" t="s">
        <v>179</v>
      </c>
      <c r="D11" s="364" t="s">
        <v>180</v>
      </c>
      <c r="E11" s="365" t="s">
        <v>143</v>
      </c>
      <c r="F11" s="366">
        <v>94081</v>
      </c>
      <c r="G11" s="367" t="s">
        <v>181</v>
      </c>
      <c r="H11" s="368" t="s">
        <v>165</v>
      </c>
      <c r="I11" s="369">
        <v>10.872122762148338</v>
      </c>
      <c r="J11" s="370" t="s">
        <v>162</v>
      </c>
      <c r="K11" s="371" t="s">
        <v>153</v>
      </c>
      <c r="L11" s="371">
        <v>4953113280718</v>
      </c>
      <c r="M11" s="372" t="s">
        <v>182</v>
      </c>
      <c r="N11" s="392">
        <v>46800</v>
      </c>
    </row>
    <row r="12" spans="1:14" s="304" customFormat="1" ht="33.950000000000003" customHeight="1">
      <c r="A12" s="373"/>
      <c r="B12" s="374"/>
      <c r="C12" s="373"/>
      <c r="D12" s="373"/>
      <c r="E12" s="375"/>
      <c r="F12" s="376"/>
      <c r="G12" s="377"/>
      <c r="H12" s="368"/>
      <c r="I12" s="378"/>
      <c r="J12" s="370"/>
      <c r="K12" s="371"/>
      <c r="L12" s="371"/>
      <c r="M12" s="391"/>
      <c r="N12" s="372"/>
    </row>
    <row r="13" spans="1:14" s="304" customFormat="1" ht="33.950000000000003" customHeight="1">
      <c r="A13" s="373"/>
      <c r="B13" s="374"/>
      <c r="C13" s="373"/>
      <c r="D13" s="373"/>
      <c r="E13" s="375"/>
      <c r="F13" s="376"/>
      <c r="G13" s="377"/>
      <c r="H13" s="379"/>
      <c r="I13" s="380"/>
      <c r="J13" s="370"/>
      <c r="K13" s="371"/>
      <c r="L13" s="371"/>
      <c r="M13" s="391"/>
      <c r="N13" s="381"/>
    </row>
    <row r="14" spans="1:14" s="304" customFormat="1" ht="33.950000000000003" customHeight="1">
      <c r="A14" s="373"/>
      <c r="B14" s="374"/>
      <c r="C14" s="373"/>
      <c r="D14" s="373"/>
      <c r="E14" s="375"/>
      <c r="F14" s="376"/>
      <c r="G14" s="377"/>
      <c r="H14" s="379"/>
      <c r="I14" s="378"/>
      <c r="J14" s="370"/>
      <c r="K14" s="371"/>
      <c r="L14" s="371"/>
      <c r="M14" s="391"/>
      <c r="N14" s="372"/>
    </row>
    <row r="15" spans="1:14" s="304" customFormat="1" ht="33.950000000000003" customHeight="1">
      <c r="A15" s="373"/>
      <c r="B15" s="374"/>
      <c r="C15" s="373"/>
      <c r="D15" s="373"/>
      <c r="E15" s="375"/>
      <c r="F15" s="376"/>
      <c r="G15" s="377"/>
      <c r="H15" s="382"/>
      <c r="I15" s="378"/>
      <c r="J15" s="370"/>
      <c r="K15" s="371"/>
      <c r="L15" s="371"/>
      <c r="M15" s="391"/>
      <c r="N15" s="372"/>
    </row>
    <row r="16" spans="1:14" s="304" customFormat="1" ht="33.950000000000003" customHeight="1">
      <c r="A16" s="373"/>
      <c r="B16" s="374"/>
      <c r="C16" s="373"/>
      <c r="D16" s="373"/>
      <c r="E16" s="375"/>
      <c r="F16" s="376"/>
      <c r="G16" s="377"/>
      <c r="H16" s="379"/>
      <c r="I16" s="378"/>
      <c r="J16" s="370"/>
      <c r="K16" s="371"/>
      <c r="L16" s="371"/>
      <c r="M16" s="391"/>
      <c r="N16" s="372"/>
    </row>
    <row r="17" spans="1:14" s="304" customFormat="1" ht="33.950000000000003" customHeight="1">
      <c r="A17" s="373"/>
      <c r="B17" s="374"/>
      <c r="C17" s="373"/>
      <c r="D17" s="377"/>
      <c r="E17" s="375"/>
      <c r="F17" s="376"/>
      <c r="G17" s="377"/>
      <c r="H17" s="379"/>
      <c r="I17" s="378"/>
      <c r="J17" s="370"/>
      <c r="K17" s="380"/>
      <c r="L17" s="371"/>
      <c r="M17" s="391"/>
      <c r="N17" s="372"/>
    </row>
    <row r="18" spans="1:14" s="304" customFormat="1" ht="33.950000000000003" customHeight="1">
      <c r="A18" s="373"/>
      <c r="B18" s="374"/>
      <c r="C18" s="373"/>
      <c r="D18" s="377"/>
      <c r="E18" s="375"/>
      <c r="F18" s="376"/>
      <c r="G18" s="377"/>
      <c r="H18" s="379"/>
      <c r="I18" s="378"/>
      <c r="J18" s="370"/>
      <c r="K18" s="380"/>
      <c r="L18" s="371"/>
      <c r="M18" s="391"/>
      <c r="N18" s="372"/>
    </row>
    <row r="19" spans="1:14" s="304" customFormat="1" ht="33.950000000000003" customHeight="1">
      <c r="A19" s="373"/>
      <c r="B19" s="374"/>
      <c r="C19" s="373"/>
      <c r="D19" s="377"/>
      <c r="E19" s="375"/>
      <c r="F19" s="376"/>
      <c r="G19" s="377"/>
      <c r="H19" s="379"/>
      <c r="I19" s="378"/>
      <c r="J19" s="370"/>
      <c r="K19" s="380"/>
      <c r="L19" s="371"/>
      <c r="M19" s="391"/>
      <c r="N19" s="372"/>
    </row>
    <row r="20" spans="1:14" s="304" customFormat="1" ht="33.950000000000003" customHeight="1">
      <c r="A20" s="373"/>
      <c r="B20" s="374"/>
      <c r="C20" s="373"/>
      <c r="D20" s="377"/>
      <c r="E20" s="375"/>
      <c r="F20" s="376"/>
      <c r="G20" s="377"/>
      <c r="H20" s="379"/>
      <c r="I20" s="378"/>
      <c r="J20" s="383"/>
      <c r="K20" s="380"/>
      <c r="L20" s="371"/>
      <c r="M20" s="391"/>
      <c r="N20" s="372"/>
    </row>
    <row r="21" spans="1:14" s="304" customFormat="1" ht="33.950000000000003" customHeight="1">
      <c r="A21" s="373"/>
      <c r="B21" s="374"/>
      <c r="C21" s="373"/>
      <c r="D21" s="377"/>
      <c r="E21" s="375"/>
      <c r="F21" s="376"/>
      <c r="G21" s="377"/>
      <c r="H21" s="379"/>
      <c r="I21" s="378"/>
      <c r="J21" s="383"/>
      <c r="K21" s="380"/>
      <c r="L21" s="371"/>
      <c r="M21" s="391"/>
      <c r="N21" s="372"/>
    </row>
    <row r="22" spans="1:14" s="304" customFormat="1">
      <c r="A22" s="384"/>
      <c r="B22" s="385"/>
      <c r="C22" s="386"/>
      <c r="D22" s="386"/>
      <c r="E22" s="387"/>
      <c r="F22" s="388"/>
      <c r="G22" s="387"/>
      <c r="H22" s="387"/>
      <c r="I22" s="387"/>
      <c r="J22" s="389"/>
      <c r="K22" s="390"/>
      <c r="L22" s="371"/>
      <c r="M22" s="391"/>
      <c r="N22" s="389"/>
    </row>
    <row r="23" spans="1:14">
      <c r="L23" s="371"/>
      <c r="M23" s="391"/>
    </row>
    <row r="24" spans="1:14">
      <c r="L24" s="371"/>
      <c r="M24" s="391"/>
    </row>
    <row r="25" spans="1:14">
      <c r="L25" s="371"/>
      <c r="M25" s="391"/>
    </row>
    <row r="26" spans="1:14">
      <c r="L26" s="371"/>
      <c r="M26" s="391"/>
    </row>
    <row r="27" spans="1:14">
      <c r="L27" s="371"/>
      <c r="M27" s="391"/>
    </row>
    <row r="28" spans="1:14">
      <c r="L28" s="371"/>
      <c r="M28" s="391"/>
    </row>
  </sheetData>
  <sheetProtection selectLockedCells="1"/>
  <mergeCells count="3">
    <mergeCell ref="E6:E7"/>
    <mergeCell ref="A9:B9"/>
    <mergeCell ref="C9:N9"/>
  </mergeCells>
  <hyperlinks>
    <hyperlink ref="J11" r:id="rId1" xr:uid="{82158578-277E-4954-BD7C-05D056B9AC35}"/>
  </hyperlinks>
  <pageMargins left="0.59055118110236227" right="0.59055118110236227" top="1.1417322834645669" bottom="0.74803149606299213" header="0.31496062992125984" footer="0.31496062992125984"/>
  <pageSetup paperSize="8" scale="77" fitToHeight="0" orientation="landscape" r:id="rId2"/>
  <headerFooter>
    <oddHeader>&amp;R&amp;G</oddHeader>
    <oddFooter>&amp;L&amp;"-,Standard"&amp;10Agritech Solutions GmbH&amp;C&amp;"-,Standard"&amp;10Rev. 00&amp;R&amp;"-,Standard"&amp;10Seite &amp;P von &amp;N</oddFooter>
  </headerFooter>
  <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F286-51C5-4DB3-AA93-81155D9AB3AC}">
  <sheetPr>
    <tabColor rgb="FF3C7460"/>
    <pageSetUpPr fitToPage="1"/>
  </sheetPr>
  <dimension ref="A1:J37"/>
  <sheetViews>
    <sheetView tabSelected="1" zoomScale="70" zoomScaleNormal="70" workbookViewId="0">
      <pane ySplit="8" topLeftCell="A9" activePane="bottomLeft" state="frozen"/>
      <selection pane="bottomLeft" activeCell="K31" sqref="K31"/>
    </sheetView>
  </sheetViews>
  <sheetFormatPr baseColWidth="10" defaultColWidth="11.5546875" defaultRowHeight="15"/>
  <cols>
    <col min="1" max="1" width="36.33203125" style="133" customWidth="1"/>
    <col min="2" max="2" width="21.5546875" style="133" bestFit="1" customWidth="1"/>
    <col min="3" max="4" width="19.21875" style="136" customWidth="1"/>
    <col min="5" max="5" width="15.77734375" style="133" customWidth="1"/>
    <col min="6" max="6" width="16.109375" style="133" customWidth="1"/>
    <col min="7" max="7" width="24.33203125" style="133" bestFit="1" customWidth="1"/>
    <col min="8" max="8" width="24.33203125" style="133" customWidth="1"/>
    <col min="9" max="9" width="26" style="133" bestFit="1" customWidth="1"/>
    <col min="10" max="10" width="23.44140625" style="133" customWidth="1"/>
    <col min="11" max="16384" width="11.5546875" style="133"/>
  </cols>
  <sheetData>
    <row r="1" spans="1:10" ht="19.5">
      <c r="A1" s="138" t="s">
        <v>168</v>
      </c>
      <c r="B1" s="138"/>
    </row>
    <row r="2" spans="1:10" s="132" customFormat="1" ht="27">
      <c r="A2" s="228" t="s">
        <v>148</v>
      </c>
      <c r="B2" s="228"/>
      <c r="C2" s="229"/>
      <c r="D2" s="229"/>
      <c r="E2" s="230"/>
      <c r="F2" s="231"/>
      <c r="I2"/>
    </row>
    <row r="3" spans="1:10" s="145" customFormat="1" ht="30" customHeight="1">
      <c r="A3" s="144"/>
      <c r="B3" s="144"/>
      <c r="C3" s="143"/>
      <c r="D3" s="143"/>
      <c r="E3" s="144"/>
    </row>
    <row r="4" spans="1:10" s="134" customFormat="1" ht="16.5">
      <c r="A4" s="232" t="s">
        <v>0</v>
      </c>
      <c r="B4" s="233">
        <v>46085</v>
      </c>
      <c r="E4" s="234"/>
      <c r="F4" s="234"/>
      <c r="G4" s="235" t="s">
        <v>90</v>
      </c>
      <c r="H4" s="235"/>
      <c r="I4" s="236"/>
      <c r="J4" s="151"/>
    </row>
    <row r="5" spans="1:10" s="134" customFormat="1" ht="15" customHeight="1">
      <c r="A5" s="237" t="s">
        <v>93</v>
      </c>
      <c r="B5" s="396" t="s">
        <v>89</v>
      </c>
      <c r="C5" s="396"/>
      <c r="D5" s="396"/>
      <c r="E5" s="396"/>
      <c r="F5" s="239"/>
      <c r="G5" s="235" t="s">
        <v>91</v>
      </c>
      <c r="H5" s="235"/>
      <c r="I5" s="396"/>
      <c r="J5" s="150"/>
    </row>
    <row r="6" spans="1:10" s="134" customFormat="1" ht="16.5">
      <c r="A6" s="238"/>
      <c r="B6" s="238"/>
      <c r="C6" s="239"/>
      <c r="D6" s="239"/>
      <c r="E6" s="239"/>
      <c r="F6" s="235"/>
      <c r="G6" s="234"/>
      <c r="H6" s="234"/>
      <c r="I6" s="396"/>
      <c r="J6" s="150"/>
    </row>
    <row r="7" spans="1:10" s="134" customFormat="1" ht="19.5" customHeight="1">
      <c r="A7" s="226" t="s">
        <v>100</v>
      </c>
      <c r="B7" s="227"/>
      <c r="C7" s="227"/>
      <c r="D7" s="227"/>
      <c r="E7" s="227"/>
      <c r="F7" s="227"/>
      <c r="G7" s="227"/>
      <c r="H7" s="201"/>
      <c r="I7" s="201"/>
      <c r="J7" s="251"/>
    </row>
    <row r="8" spans="1:10" s="137" customFormat="1" ht="39" customHeight="1">
      <c r="A8" s="154" t="s">
        <v>87</v>
      </c>
      <c r="B8" s="242" t="s">
        <v>150</v>
      </c>
      <c r="C8" s="155" t="s">
        <v>88</v>
      </c>
      <c r="D8" s="155" t="s">
        <v>155</v>
      </c>
      <c r="E8" s="155" t="s">
        <v>96</v>
      </c>
      <c r="F8" s="155" t="s">
        <v>95</v>
      </c>
      <c r="G8" s="156" t="s">
        <v>146</v>
      </c>
      <c r="H8" s="225" t="s">
        <v>147</v>
      </c>
      <c r="I8" s="263" t="s">
        <v>167</v>
      </c>
      <c r="J8" s="252" t="s">
        <v>163</v>
      </c>
    </row>
    <row r="9" spans="1:10" s="135" customFormat="1" ht="51" customHeight="1">
      <c r="A9" s="253" t="s">
        <v>164</v>
      </c>
      <c r="B9" s="254" t="s">
        <v>165</v>
      </c>
      <c r="C9" s="255" t="s">
        <v>92</v>
      </c>
      <c r="D9" s="262" t="s">
        <v>166</v>
      </c>
      <c r="E9" s="256"/>
      <c r="F9" s="257"/>
      <c r="G9" s="255"/>
      <c r="H9" s="224"/>
      <c r="I9" s="223"/>
      <c r="J9" s="206"/>
    </row>
    <row r="10" spans="1:10" s="135" customFormat="1" ht="51" customHeight="1">
      <c r="A10" s="194"/>
      <c r="B10" s="243"/>
      <c r="C10" s="198"/>
      <c r="D10" s="248"/>
      <c r="E10" s="199"/>
      <c r="F10" s="153"/>
      <c r="G10" s="152"/>
      <c r="H10" s="202"/>
      <c r="I10" s="202"/>
      <c r="J10" s="206"/>
    </row>
    <row r="11" spans="1:10" s="135" customFormat="1" ht="51" customHeight="1">
      <c r="A11" s="197"/>
      <c r="B11" s="243"/>
      <c r="C11" s="200"/>
      <c r="D11" s="248"/>
      <c r="E11" s="199"/>
      <c r="F11" s="153"/>
      <c r="G11" s="152"/>
      <c r="H11" s="202"/>
      <c r="I11" s="202"/>
      <c r="J11" s="206"/>
    </row>
    <row r="12" spans="1:10" s="135" customFormat="1" ht="51" customHeight="1">
      <c r="A12" s="194"/>
      <c r="B12" s="243"/>
      <c r="C12" s="200"/>
      <c r="D12" s="248"/>
      <c r="E12" s="199"/>
      <c r="F12" s="153"/>
      <c r="G12" s="203"/>
      <c r="H12" s="202"/>
      <c r="I12" s="202"/>
      <c r="J12" s="206"/>
    </row>
    <row r="13" spans="1:10" s="135" customFormat="1" ht="51" customHeight="1">
      <c r="A13" s="253"/>
      <c r="B13" s="254"/>
      <c r="C13" s="255"/>
      <c r="D13" s="255"/>
      <c r="E13" s="256"/>
      <c r="F13" s="257"/>
      <c r="G13" s="255"/>
      <c r="H13" s="224"/>
      <c r="I13" s="223"/>
      <c r="J13" s="206"/>
    </row>
    <row r="14" spans="1:10" s="135" customFormat="1" ht="51" customHeight="1">
      <c r="A14" s="194"/>
      <c r="B14" s="243"/>
      <c r="C14" s="200"/>
      <c r="D14" s="248"/>
      <c r="E14" s="199"/>
      <c r="F14" s="153"/>
      <c r="G14" s="203"/>
      <c r="H14" s="202"/>
      <c r="I14" s="202"/>
      <c r="J14" s="206"/>
    </row>
    <row r="15" spans="1:10" s="135" customFormat="1" ht="51" customHeight="1">
      <c r="A15" s="194"/>
      <c r="B15" s="243"/>
      <c r="C15" s="195"/>
      <c r="D15" s="248"/>
      <c r="E15" s="196"/>
      <c r="F15" s="153"/>
      <c r="G15" s="152"/>
      <c r="H15" s="202"/>
      <c r="I15" s="202"/>
      <c r="J15" s="206"/>
    </row>
    <row r="16" spans="1:10" s="204" customFormat="1" ht="51" customHeight="1">
      <c r="A16" s="213"/>
      <c r="B16" s="244"/>
      <c r="C16" s="214"/>
      <c r="D16" s="214"/>
      <c r="E16" s="215"/>
      <c r="F16" s="216"/>
      <c r="G16" s="214"/>
      <c r="H16" s="202"/>
      <c r="I16" s="202"/>
      <c r="J16" s="206"/>
    </row>
    <row r="17" spans="1:10" s="135" customFormat="1" ht="51" customHeight="1">
      <c r="A17" s="194"/>
      <c r="B17" s="243"/>
      <c r="C17" s="195"/>
      <c r="D17" s="248"/>
      <c r="E17" s="196"/>
      <c r="F17" s="153"/>
      <c r="G17" s="203"/>
      <c r="H17" s="202"/>
      <c r="I17" s="217"/>
      <c r="J17" s="206"/>
    </row>
    <row r="18" spans="1:10" s="135" customFormat="1" ht="51" customHeight="1">
      <c r="A18" s="205"/>
      <c r="B18" s="243"/>
      <c r="C18" s="206"/>
      <c r="D18" s="206"/>
      <c r="E18" s="207"/>
      <c r="F18" s="208"/>
      <c r="G18" s="206"/>
      <c r="H18" s="202"/>
      <c r="I18" s="209"/>
      <c r="J18" s="206"/>
    </row>
    <row r="19" spans="1:10" s="135" customFormat="1" ht="40.5" customHeight="1">
      <c r="A19" s="205"/>
      <c r="B19" s="243"/>
      <c r="C19" s="206"/>
      <c r="D19" s="206"/>
      <c r="E19" s="207"/>
      <c r="F19" s="208"/>
      <c r="G19" s="206"/>
      <c r="H19" s="202"/>
      <c r="I19" s="209"/>
      <c r="J19" s="206"/>
    </row>
    <row r="20" spans="1:10" s="135" customFormat="1" ht="40.5" customHeight="1">
      <c r="A20" s="205"/>
      <c r="B20" s="245"/>
      <c r="C20" s="206"/>
      <c r="D20" s="206"/>
      <c r="E20" s="207"/>
      <c r="F20" s="208"/>
      <c r="G20" s="206"/>
      <c r="H20" s="202"/>
      <c r="I20" s="209"/>
      <c r="J20" s="206"/>
    </row>
    <row r="21" spans="1:10" s="135" customFormat="1" ht="40.5" customHeight="1">
      <c r="A21" s="205"/>
      <c r="B21" s="243"/>
      <c r="C21" s="206"/>
      <c r="D21" s="206"/>
      <c r="E21" s="207"/>
      <c r="F21" s="208"/>
      <c r="G21" s="206"/>
      <c r="H21" s="206"/>
      <c r="I21" s="209"/>
      <c r="J21" s="206"/>
    </row>
    <row r="22" spans="1:10" s="135" customFormat="1" ht="40.5" customHeight="1">
      <c r="A22" s="205"/>
      <c r="B22" s="245"/>
      <c r="C22" s="206"/>
      <c r="D22" s="206"/>
      <c r="E22" s="207"/>
      <c r="F22" s="208"/>
      <c r="G22" s="206"/>
      <c r="H22" s="210"/>
      <c r="I22" s="209"/>
      <c r="J22" s="206"/>
    </row>
    <row r="23" spans="1:10" s="135" customFormat="1" ht="40.5" customHeight="1">
      <c r="A23" s="205"/>
      <c r="B23" s="243"/>
      <c r="C23" s="206"/>
      <c r="D23" s="206"/>
      <c r="E23" s="207"/>
      <c r="F23" s="208"/>
      <c r="G23" s="206"/>
      <c r="H23" s="210"/>
      <c r="I23" s="223"/>
      <c r="J23" s="206"/>
    </row>
    <row r="24" spans="1:10" s="135" customFormat="1" ht="40.5" customHeight="1">
      <c r="A24" s="218"/>
      <c r="B24" s="243"/>
      <c r="C24" s="219"/>
      <c r="D24" s="219"/>
      <c r="E24" s="220"/>
      <c r="F24" s="221"/>
      <c r="G24" s="219"/>
      <c r="H24" s="240"/>
      <c r="I24" s="209"/>
      <c r="J24" s="206"/>
    </row>
    <row r="25" spans="1:10" s="135" customFormat="1" ht="40.5" customHeight="1">
      <c r="A25" s="218"/>
      <c r="B25" s="246"/>
      <c r="C25" s="219"/>
      <c r="D25" s="219"/>
      <c r="E25" s="220"/>
      <c r="F25" s="221"/>
      <c r="G25" s="219"/>
      <c r="H25" s="241"/>
      <c r="I25" s="209"/>
      <c r="J25" s="206"/>
    </row>
    <row r="26" spans="1:10" s="135" customFormat="1" ht="40.5" customHeight="1">
      <c r="A26" s="218"/>
      <c r="B26" s="243"/>
      <c r="C26" s="219"/>
      <c r="D26" s="219"/>
      <c r="E26" s="220"/>
      <c r="F26" s="221"/>
      <c r="G26" s="219"/>
      <c r="H26" s="202"/>
      <c r="I26" s="222"/>
      <c r="J26" s="206"/>
    </row>
    <row r="27" spans="1:10" s="135" customFormat="1" ht="40.5" customHeight="1">
      <c r="A27" s="258"/>
      <c r="B27" s="259"/>
      <c r="C27" s="206"/>
      <c r="D27" s="206"/>
      <c r="E27" s="260"/>
      <c r="F27" s="208"/>
      <c r="G27" s="261"/>
      <c r="H27" s="224"/>
      <c r="I27" s="223"/>
      <c r="J27" s="206"/>
    </row>
    <row r="28" spans="1:10" s="135" customFormat="1" ht="40.5" customHeight="1">
      <c r="A28" s="205"/>
      <c r="B28" s="245"/>
      <c r="C28" s="206"/>
      <c r="D28" s="206"/>
      <c r="E28" s="260"/>
      <c r="F28" s="208"/>
      <c r="G28" s="210"/>
      <c r="H28" s="224"/>
      <c r="I28" s="223"/>
      <c r="J28" s="206"/>
    </row>
    <row r="29" spans="1:10" s="135" customFormat="1" ht="40.5" customHeight="1">
      <c r="A29" s="205"/>
      <c r="B29" s="245"/>
      <c r="C29" s="206"/>
      <c r="D29" s="206"/>
      <c r="E29" s="260"/>
      <c r="F29" s="208"/>
      <c r="G29" s="210"/>
      <c r="H29" s="224"/>
      <c r="I29" s="223"/>
      <c r="J29" s="206"/>
    </row>
    <row r="30" spans="1:10" s="135" customFormat="1" ht="40.5" customHeight="1">
      <c r="A30" s="205"/>
      <c r="B30" s="245"/>
      <c r="C30" s="206"/>
      <c r="D30" s="206"/>
      <c r="E30" s="260"/>
      <c r="F30" s="208"/>
      <c r="G30" s="210"/>
      <c r="H30" s="224"/>
      <c r="I30" s="223"/>
      <c r="J30" s="206"/>
    </row>
    <row r="31" spans="1:10" s="135" customFormat="1" ht="40.5" customHeight="1">
      <c r="A31" s="205"/>
      <c r="B31" s="245"/>
      <c r="C31" s="206"/>
      <c r="D31" s="206"/>
      <c r="E31" s="207"/>
      <c r="F31" s="208"/>
      <c r="G31" s="210"/>
      <c r="H31" s="224"/>
      <c r="I31" s="211"/>
      <c r="J31" s="206"/>
    </row>
    <row r="32" spans="1:10" s="135" customFormat="1" ht="40.5" customHeight="1">
      <c r="A32" s="205"/>
      <c r="B32" s="245"/>
      <c r="C32" s="206"/>
      <c r="D32" s="206"/>
      <c r="E32" s="207"/>
      <c r="F32" s="208"/>
      <c r="G32" s="210"/>
      <c r="H32" s="224"/>
      <c r="I32" s="211"/>
      <c r="J32" s="206"/>
    </row>
    <row r="33" spans="1:10" s="135" customFormat="1" ht="40.5" customHeight="1">
      <c r="A33" s="205"/>
      <c r="B33" s="245"/>
      <c r="C33" s="206"/>
      <c r="D33" s="206"/>
      <c r="E33" s="207"/>
      <c r="F33" s="208"/>
      <c r="G33" s="210"/>
      <c r="H33" s="224"/>
      <c r="I33" s="211"/>
      <c r="J33" s="206"/>
    </row>
    <row r="34" spans="1:10" s="135" customFormat="1" ht="40.5" customHeight="1">
      <c r="A34" s="205"/>
      <c r="B34" s="245"/>
      <c r="C34" s="206"/>
      <c r="D34" s="206"/>
      <c r="E34" s="207"/>
      <c r="F34" s="208"/>
      <c r="G34" s="210"/>
      <c r="H34" s="224"/>
      <c r="I34" s="211"/>
      <c r="J34" s="206"/>
    </row>
    <row r="35" spans="1:10" s="135" customFormat="1" ht="40.5" customHeight="1">
      <c r="A35" s="205"/>
      <c r="B35" s="245"/>
      <c r="C35" s="206"/>
      <c r="D35" s="206"/>
      <c r="E35" s="207"/>
      <c r="F35" s="208"/>
      <c r="G35" s="210"/>
      <c r="H35" s="224"/>
      <c r="I35" s="211"/>
      <c r="J35" s="206"/>
    </row>
    <row r="36" spans="1:10" s="135" customFormat="1" ht="40.5" customHeight="1">
      <c r="A36" s="205"/>
      <c r="B36" s="245"/>
      <c r="C36" s="206"/>
      <c r="D36" s="206"/>
      <c r="E36" s="207"/>
      <c r="F36" s="208"/>
      <c r="G36" s="210"/>
      <c r="H36" s="224"/>
      <c r="I36" s="211"/>
      <c r="J36" s="206"/>
    </row>
    <row r="37" spans="1:10" s="135" customFormat="1" ht="40.5" customHeight="1">
      <c r="A37" s="205"/>
      <c r="B37" s="245"/>
      <c r="C37" s="206"/>
      <c r="D37" s="206"/>
      <c r="E37" s="207"/>
      <c r="F37" s="208"/>
      <c r="G37" s="210"/>
      <c r="H37" s="210"/>
      <c r="I37" s="212"/>
      <c r="J37" s="206"/>
    </row>
  </sheetData>
  <sheetProtection selectLockedCells="1"/>
  <autoFilter ref="A8:I25" xr:uid="{5F8CF286-51C5-4DB3-AA93-81155D9AB3AC}"/>
  <mergeCells count="2">
    <mergeCell ref="I5:I6"/>
    <mergeCell ref="B5:E5"/>
  </mergeCells>
  <phoneticPr fontId="31" type="noConversion"/>
  <dataValidations count="1">
    <dataValidation type="list" allowBlank="1" showDropDown="1" showInputMessage="1" showErrorMessage="1" sqref="F2:F3 G2:H2 G3:J3" xr:uid="{0FEEA0A4-5876-41CC-9F71-ACCCE5B2AD82}">
      <formula1>"Baden-Württemberg,Bayern,Berlin,Brandenburg,Bremen,Hamburg,Hessen,Mecklenburg-Vorpommern,Niedersachsen,Nordrhein-Westfalen,Rheinland-Pfalz,Saarland,Sachsen,Sachsen-Anhalt,Schleswig-Holstein,Thüringen"</formula1>
    </dataValidation>
  </dataValidations>
  <pageMargins left="0.23622047244094488" right="0.23622047244094488" top="0.74803149606299213" bottom="0.74803149606299213" header="0.31496062992125984" footer="0.31496062992125984"/>
  <pageSetup paperSize="8" scale="51" orientation="landscape" r:id="rId1"/>
  <headerFooter>
    <oddHeader>&amp;C&amp;G</oddHeader>
    <oddFooter>&amp;L&amp;"-,Standard"&amp;10Agritech Solutions GmbH&amp;C&amp;"-,Standard"&amp;10Rev. 01&amp;R&amp;"-,Standard"&amp;10Seite &amp;P von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C455-B7DA-4884-8FE7-9672DA2F974F}">
  <sheetPr>
    <tabColor theme="5"/>
    <pageSetUpPr fitToPage="1"/>
  </sheetPr>
  <dimension ref="A2:L52"/>
  <sheetViews>
    <sheetView zoomScale="90" zoomScaleNormal="90" zoomScalePageLayoutView="70" workbookViewId="0">
      <selection activeCell="G6" sqref="G6:H7"/>
    </sheetView>
  </sheetViews>
  <sheetFormatPr baseColWidth="10" defaultColWidth="11.5546875" defaultRowHeight="15"/>
  <cols>
    <col min="1" max="1" width="31.44140625" style="270" customWidth="1"/>
    <col min="2" max="2" width="13.5546875" style="268" customWidth="1"/>
    <col min="3" max="3" width="14.109375" style="269" customWidth="1"/>
    <col min="4" max="5" width="13.33203125" style="270" customWidth="1"/>
    <col min="6" max="6" width="14.109375" style="270" customWidth="1"/>
    <col min="7" max="7" width="18.33203125" style="270" bestFit="1" customWidth="1"/>
    <col min="8" max="8" width="25.77734375" style="270" customWidth="1"/>
    <col min="9" max="9" width="19.88671875" style="270" customWidth="1"/>
    <col min="10" max="10" width="15.88671875" style="270" customWidth="1"/>
    <col min="11" max="11" width="7" style="270" customWidth="1"/>
    <col min="12" max="12" width="14.44140625" style="270" customWidth="1"/>
    <col min="13" max="16384" width="11.5546875" style="270"/>
  </cols>
  <sheetData>
    <row r="2" spans="1:12" ht="19.5">
      <c r="A2" s="267" t="s">
        <v>168</v>
      </c>
    </row>
    <row r="3" spans="1:12" s="274" customFormat="1" ht="21">
      <c r="A3" s="271" t="s">
        <v>94</v>
      </c>
      <c r="B3" s="272"/>
      <c r="C3" s="273"/>
    </row>
    <row r="4" spans="1:12" s="278" customFormat="1" ht="30" customHeight="1">
      <c r="A4" s="275"/>
      <c r="B4" s="276"/>
      <c r="C4" s="277"/>
    </row>
    <row r="5" spans="1:12" s="282" customFormat="1">
      <c r="A5" s="279" t="s">
        <v>0</v>
      </c>
      <c r="B5" s="280">
        <v>46085</v>
      </c>
      <c r="C5" s="281"/>
      <c r="F5" s="283" t="s">
        <v>90</v>
      </c>
      <c r="G5" s="284"/>
      <c r="K5" s="285" t="s">
        <v>104</v>
      </c>
      <c r="L5" s="286" t="s">
        <v>169</v>
      </c>
    </row>
    <row r="6" spans="1:12" s="282" customFormat="1" ht="15" customHeight="1">
      <c r="A6" s="287" t="s">
        <v>93</v>
      </c>
      <c r="B6" s="397" t="s">
        <v>89</v>
      </c>
      <c r="C6" s="397"/>
      <c r="D6" s="397"/>
      <c r="E6" s="288"/>
      <c r="F6" s="283" t="s">
        <v>91</v>
      </c>
      <c r="G6" s="397"/>
      <c r="H6" s="397"/>
      <c r="K6" s="285" t="s">
        <v>105</v>
      </c>
      <c r="L6" s="286" t="s">
        <v>169</v>
      </c>
    </row>
    <row r="7" spans="1:12" s="282" customFormat="1">
      <c r="A7" s="289"/>
      <c r="B7" s="290"/>
      <c r="C7" s="291"/>
      <c r="D7" s="283"/>
      <c r="E7" s="283"/>
      <c r="G7" s="397"/>
      <c r="H7" s="397"/>
    </row>
    <row r="8" spans="1:12" s="282" customFormat="1" ht="15.75" customHeight="1">
      <c r="A8" s="292"/>
      <c r="B8" s="293"/>
      <c r="C8" s="294"/>
      <c r="D8" s="292"/>
      <c r="E8" s="292"/>
      <c r="K8" s="295"/>
      <c r="L8" s="296"/>
    </row>
    <row r="9" spans="1:12" s="297" customFormat="1" ht="16.5">
      <c r="A9" s="398" t="s">
        <v>106</v>
      </c>
      <c r="B9" s="399"/>
      <c r="C9" s="399"/>
      <c r="D9" s="399"/>
      <c r="E9" s="399"/>
      <c r="F9" s="399"/>
      <c r="G9" s="399"/>
      <c r="H9" s="399"/>
      <c r="I9" s="399"/>
      <c r="J9" s="399"/>
      <c r="K9" s="399"/>
      <c r="L9" s="399"/>
    </row>
    <row r="10" spans="1:12" s="304" customFormat="1" ht="16.5">
      <c r="A10" s="298" t="s">
        <v>101</v>
      </c>
      <c r="B10" s="299" t="s">
        <v>154</v>
      </c>
      <c r="C10" s="299" t="s">
        <v>97</v>
      </c>
      <c r="D10" s="300" t="s">
        <v>98</v>
      </c>
      <c r="E10" s="301" t="s">
        <v>99</v>
      </c>
      <c r="F10" s="302" t="s">
        <v>102</v>
      </c>
      <c r="G10" s="302" t="s">
        <v>151</v>
      </c>
      <c r="H10" s="302" t="s">
        <v>149</v>
      </c>
      <c r="I10" s="302" t="s">
        <v>152</v>
      </c>
      <c r="J10" s="302" t="s">
        <v>103</v>
      </c>
      <c r="K10" s="303" t="s">
        <v>160</v>
      </c>
      <c r="L10" s="302"/>
    </row>
    <row r="11" spans="1:12" s="304" customFormat="1">
      <c r="A11" s="305" t="s">
        <v>159</v>
      </c>
      <c r="B11" s="304" t="s">
        <v>158</v>
      </c>
      <c r="C11" s="306" t="s">
        <v>143</v>
      </c>
      <c r="D11" s="307">
        <v>94081</v>
      </c>
      <c r="E11" s="305" t="s">
        <v>144</v>
      </c>
      <c r="F11" s="308" t="s">
        <v>145</v>
      </c>
      <c r="G11" s="250" t="s">
        <v>162</v>
      </c>
      <c r="H11" s="309" t="s">
        <v>156</v>
      </c>
      <c r="I11" s="310" t="s">
        <v>153</v>
      </c>
      <c r="J11" s="311">
        <v>4031735448580</v>
      </c>
    </row>
    <row r="12" spans="1:12" s="304" customFormat="1">
      <c r="A12" s="312"/>
      <c r="B12" s="313"/>
      <c r="C12" s="314"/>
      <c r="D12" s="315"/>
      <c r="E12" s="316"/>
      <c r="F12" s="309"/>
      <c r="G12" s="317"/>
      <c r="H12" s="318"/>
      <c r="I12" s="318"/>
      <c r="J12" s="307"/>
      <c r="K12" s="318"/>
      <c r="L12" s="308"/>
    </row>
    <row r="13" spans="1:12" s="304" customFormat="1">
      <c r="A13" s="312"/>
      <c r="B13" s="313"/>
      <c r="C13" s="314"/>
      <c r="D13" s="315"/>
      <c r="E13" s="319"/>
      <c r="F13" s="320"/>
      <c r="G13" s="317"/>
      <c r="H13" s="318"/>
      <c r="I13" s="318"/>
      <c r="J13" s="307"/>
      <c r="K13" s="318"/>
      <c r="L13" s="308"/>
    </row>
    <row r="14" spans="1:12" s="304" customFormat="1">
      <c r="A14" s="312"/>
      <c r="B14" s="313"/>
      <c r="C14" s="314"/>
      <c r="D14" s="315"/>
      <c r="E14" s="319"/>
      <c r="F14" s="320"/>
      <c r="G14" s="317"/>
      <c r="H14" s="318"/>
      <c r="I14" s="318"/>
      <c r="J14" s="307"/>
      <c r="K14" s="318"/>
      <c r="L14" s="308"/>
    </row>
    <row r="15" spans="1:12" s="304" customFormat="1">
      <c r="A15" s="312"/>
      <c r="B15" s="313"/>
      <c r="C15" s="314"/>
      <c r="D15" s="315"/>
      <c r="E15" s="319"/>
      <c r="F15" s="320"/>
      <c r="G15" s="317"/>
      <c r="H15" s="318"/>
      <c r="I15" s="318"/>
      <c r="J15" s="307"/>
      <c r="K15" s="318"/>
      <c r="L15" s="308"/>
    </row>
    <row r="16" spans="1:12" s="304" customFormat="1">
      <c r="A16" s="312"/>
      <c r="B16" s="313"/>
      <c r="C16" s="314"/>
      <c r="D16" s="315"/>
      <c r="E16" s="319"/>
      <c r="F16" s="320"/>
      <c r="G16" s="317"/>
      <c r="H16" s="318"/>
      <c r="I16" s="318"/>
      <c r="J16" s="307"/>
      <c r="K16" s="318"/>
      <c r="L16" s="308"/>
    </row>
    <row r="17" spans="1:12">
      <c r="A17" s="312"/>
      <c r="B17" s="313"/>
      <c r="C17" s="314"/>
      <c r="D17" s="315"/>
      <c r="E17" s="319"/>
      <c r="F17" s="320"/>
      <c r="G17" s="317"/>
      <c r="H17" s="318"/>
      <c r="I17" s="318"/>
      <c r="J17" s="307"/>
      <c r="K17" s="318"/>
      <c r="L17" s="308"/>
    </row>
    <row r="18" spans="1:12">
      <c r="A18" s="312"/>
      <c r="B18" s="313"/>
      <c r="C18" s="314"/>
      <c r="D18" s="315"/>
      <c r="E18" s="319"/>
      <c r="F18" s="320"/>
      <c r="G18" s="317"/>
      <c r="H18" s="318"/>
      <c r="I18" s="318"/>
      <c r="J18" s="307"/>
      <c r="K18" s="318"/>
      <c r="L18" s="308"/>
    </row>
    <row r="19" spans="1:12">
      <c r="A19" s="312"/>
      <c r="B19" s="313"/>
      <c r="C19" s="314"/>
      <c r="D19" s="315"/>
      <c r="E19" s="319"/>
      <c r="F19" s="320"/>
      <c r="G19" s="317"/>
      <c r="H19" s="318"/>
      <c r="I19" s="318"/>
      <c r="J19" s="307"/>
      <c r="K19" s="318"/>
      <c r="L19" s="308"/>
    </row>
    <row r="20" spans="1:12">
      <c r="A20" s="312"/>
      <c r="B20" s="313"/>
      <c r="C20" s="314"/>
      <c r="D20" s="315"/>
      <c r="E20" s="319"/>
      <c r="F20" s="320"/>
      <c r="G20" s="317"/>
      <c r="H20" s="318"/>
      <c r="I20" s="318"/>
      <c r="J20" s="307"/>
      <c r="K20" s="318"/>
      <c r="L20" s="308"/>
    </row>
    <row r="21" spans="1:12">
      <c r="A21" s="312"/>
      <c r="B21" s="313"/>
      <c r="C21" s="314"/>
      <c r="D21" s="315"/>
      <c r="E21" s="319"/>
      <c r="F21" s="320"/>
      <c r="G21" s="317"/>
      <c r="H21" s="318"/>
      <c r="I21" s="318"/>
      <c r="J21" s="307"/>
      <c r="K21" s="318"/>
      <c r="L21" s="308"/>
    </row>
    <row r="22" spans="1:12">
      <c r="A22" s="312"/>
      <c r="B22" s="313"/>
      <c r="C22" s="314"/>
      <c r="D22" s="315"/>
      <c r="E22" s="319"/>
      <c r="F22" s="320"/>
      <c r="G22" s="317"/>
      <c r="H22" s="318"/>
      <c r="I22" s="318"/>
      <c r="J22" s="307"/>
      <c r="K22" s="318"/>
      <c r="L22" s="308"/>
    </row>
    <row r="23" spans="1:12">
      <c r="A23" s="312"/>
      <c r="B23" s="313"/>
      <c r="C23" s="314"/>
      <c r="D23" s="315"/>
      <c r="E23" s="319"/>
      <c r="F23" s="320"/>
      <c r="G23" s="317"/>
      <c r="H23" s="318"/>
      <c r="I23" s="318"/>
      <c r="J23" s="307"/>
      <c r="K23" s="318"/>
      <c r="L23" s="308"/>
    </row>
    <row r="24" spans="1:12">
      <c r="A24" s="312"/>
      <c r="B24" s="313"/>
      <c r="C24" s="314"/>
      <c r="D24" s="315"/>
      <c r="E24" s="319"/>
      <c r="F24" s="320"/>
      <c r="G24" s="317"/>
      <c r="H24" s="318"/>
      <c r="I24" s="318"/>
      <c r="J24" s="307"/>
      <c r="K24" s="318"/>
      <c r="L24" s="308"/>
    </row>
    <row r="25" spans="1:12">
      <c r="A25" s="312"/>
      <c r="B25" s="313"/>
      <c r="C25" s="314"/>
      <c r="D25" s="315"/>
      <c r="E25" s="319"/>
      <c r="F25" s="320"/>
      <c r="G25" s="317"/>
      <c r="H25" s="318"/>
      <c r="I25" s="318"/>
      <c r="J25" s="307"/>
      <c r="K25" s="318"/>
      <c r="L25" s="308"/>
    </row>
    <row r="26" spans="1:12">
      <c r="A26" s="312"/>
      <c r="B26" s="313"/>
      <c r="C26" s="314"/>
      <c r="D26" s="315"/>
      <c r="E26" s="319"/>
      <c r="F26" s="320"/>
      <c r="G26" s="317"/>
      <c r="H26" s="318"/>
      <c r="I26" s="318"/>
      <c r="J26" s="307"/>
      <c r="K26" s="318"/>
      <c r="L26" s="308"/>
    </row>
    <row r="27" spans="1:12">
      <c r="A27" s="312"/>
      <c r="B27" s="313"/>
      <c r="C27" s="314"/>
      <c r="D27" s="315"/>
      <c r="E27" s="319"/>
      <c r="F27" s="320"/>
      <c r="G27" s="317"/>
      <c r="H27" s="318"/>
      <c r="I27" s="318"/>
      <c r="J27" s="307"/>
      <c r="K27" s="318"/>
      <c r="L27" s="308"/>
    </row>
    <row r="28" spans="1:12">
      <c r="A28" s="312"/>
      <c r="B28" s="313"/>
      <c r="C28" s="314"/>
      <c r="D28" s="315"/>
      <c r="E28" s="319"/>
      <c r="F28" s="320"/>
      <c r="G28" s="317"/>
      <c r="H28" s="318"/>
      <c r="I28" s="318"/>
      <c r="J28" s="307"/>
      <c r="K28" s="318"/>
      <c r="L28" s="308"/>
    </row>
    <row r="29" spans="1:12">
      <c r="A29" s="312"/>
      <c r="B29" s="313"/>
      <c r="C29" s="314"/>
      <c r="D29" s="315"/>
      <c r="E29" s="319"/>
      <c r="F29" s="320"/>
      <c r="G29" s="317"/>
      <c r="H29" s="318"/>
      <c r="I29" s="318"/>
      <c r="J29" s="307"/>
      <c r="K29" s="318"/>
      <c r="L29" s="308"/>
    </row>
    <row r="30" spans="1:12">
      <c r="A30" s="312"/>
      <c r="B30" s="313"/>
      <c r="C30" s="314"/>
      <c r="D30" s="315"/>
      <c r="E30" s="319"/>
      <c r="F30" s="320"/>
      <c r="G30" s="317"/>
      <c r="H30" s="318"/>
      <c r="I30" s="318"/>
      <c r="J30" s="307"/>
      <c r="K30" s="318"/>
      <c r="L30" s="308"/>
    </row>
    <row r="31" spans="1:12">
      <c r="A31" s="312"/>
      <c r="B31" s="313"/>
      <c r="C31" s="314"/>
      <c r="D31" s="315"/>
      <c r="E31" s="319"/>
      <c r="F31" s="320"/>
      <c r="G31" s="317"/>
      <c r="H31" s="318"/>
      <c r="I31" s="318"/>
      <c r="J31" s="307"/>
      <c r="K31" s="318"/>
      <c r="L31" s="308"/>
    </row>
    <row r="32" spans="1:12">
      <c r="D32" s="315"/>
      <c r="E32" s="319"/>
      <c r="F32" s="320"/>
      <c r="H32" s="318"/>
      <c r="I32" s="318"/>
      <c r="J32" s="307"/>
      <c r="K32" s="318"/>
      <c r="L32" s="308"/>
    </row>
    <row r="33" spans="4:12">
      <c r="D33" s="315"/>
      <c r="E33" s="319"/>
      <c r="F33" s="320"/>
      <c r="H33" s="318"/>
      <c r="I33" s="318"/>
      <c r="J33" s="307"/>
      <c r="K33" s="318"/>
      <c r="L33" s="308"/>
    </row>
    <row r="34" spans="4:12">
      <c r="D34" s="315"/>
      <c r="E34" s="319"/>
      <c r="F34" s="320"/>
      <c r="H34" s="318"/>
      <c r="I34" s="318"/>
      <c r="J34" s="307"/>
      <c r="K34" s="318"/>
      <c r="L34" s="308"/>
    </row>
    <row r="35" spans="4:12">
      <c r="D35" s="315"/>
      <c r="E35" s="319"/>
      <c r="F35" s="320"/>
      <c r="H35" s="318"/>
      <c r="I35" s="318"/>
      <c r="J35" s="307"/>
      <c r="K35" s="318"/>
      <c r="L35" s="308"/>
    </row>
    <row r="36" spans="4:12">
      <c r="D36" s="315"/>
      <c r="E36" s="319"/>
      <c r="F36" s="320"/>
      <c r="H36" s="318"/>
      <c r="I36" s="318"/>
      <c r="J36" s="307"/>
      <c r="K36" s="318"/>
      <c r="L36" s="308"/>
    </row>
    <row r="37" spans="4:12">
      <c r="D37" s="315"/>
      <c r="E37" s="319"/>
      <c r="F37" s="320"/>
      <c r="H37" s="318"/>
      <c r="I37" s="318"/>
      <c r="J37" s="307"/>
      <c r="K37" s="318"/>
      <c r="L37" s="308"/>
    </row>
    <row r="38" spans="4:12">
      <c r="D38" s="315"/>
      <c r="E38" s="319"/>
      <c r="F38" s="320"/>
      <c r="H38" s="318"/>
      <c r="I38" s="318"/>
      <c r="J38" s="307"/>
      <c r="K38" s="318"/>
      <c r="L38" s="308"/>
    </row>
    <row r="39" spans="4:12">
      <c r="D39" s="315"/>
      <c r="E39" s="319"/>
      <c r="F39" s="320"/>
      <c r="H39" s="318"/>
      <c r="I39" s="318"/>
      <c r="J39" s="307"/>
      <c r="K39" s="318"/>
      <c r="L39" s="308"/>
    </row>
    <row r="40" spans="4:12">
      <c r="D40" s="315"/>
      <c r="E40" s="319"/>
      <c r="F40" s="320"/>
      <c r="H40" s="318"/>
      <c r="I40" s="318"/>
      <c r="J40" s="307"/>
      <c r="K40" s="318"/>
      <c r="L40" s="308"/>
    </row>
    <row r="41" spans="4:12">
      <c r="D41" s="315"/>
      <c r="E41" s="319"/>
      <c r="F41" s="320"/>
      <c r="H41" s="318"/>
      <c r="I41" s="318"/>
      <c r="J41" s="307"/>
      <c r="K41" s="318"/>
      <c r="L41" s="308"/>
    </row>
    <row r="42" spans="4:12">
      <c r="D42" s="315"/>
      <c r="E42" s="319"/>
      <c r="F42" s="320"/>
      <c r="H42" s="318"/>
      <c r="I42" s="318"/>
      <c r="J42" s="307"/>
      <c r="K42" s="318"/>
      <c r="L42" s="308"/>
    </row>
    <row r="43" spans="4:12">
      <c r="D43" s="315"/>
      <c r="E43" s="319"/>
      <c r="F43" s="320"/>
      <c r="H43" s="318"/>
      <c r="I43" s="318"/>
      <c r="J43" s="307"/>
      <c r="K43" s="318"/>
      <c r="L43" s="308"/>
    </row>
    <row r="44" spans="4:12">
      <c r="D44" s="315"/>
      <c r="E44" s="319"/>
      <c r="F44" s="320"/>
      <c r="H44" s="318"/>
      <c r="I44" s="318"/>
      <c r="J44" s="307"/>
      <c r="K44" s="318"/>
      <c r="L44" s="308"/>
    </row>
    <row r="45" spans="4:12">
      <c r="D45" s="315"/>
      <c r="E45" s="319"/>
      <c r="F45" s="320"/>
      <c r="H45" s="318"/>
      <c r="I45" s="318"/>
      <c r="J45" s="307"/>
      <c r="K45" s="318"/>
      <c r="L45" s="308"/>
    </row>
    <row r="46" spans="4:12">
      <c r="H46" s="318"/>
      <c r="I46" s="318"/>
      <c r="J46" s="307"/>
      <c r="K46" s="318"/>
      <c r="L46" s="308"/>
    </row>
    <row r="47" spans="4:12">
      <c r="H47" s="318"/>
      <c r="I47" s="318"/>
      <c r="J47" s="307"/>
      <c r="K47" s="318"/>
      <c r="L47" s="308"/>
    </row>
    <row r="48" spans="4:12">
      <c r="H48" s="318"/>
      <c r="I48" s="318"/>
      <c r="J48" s="307"/>
      <c r="K48" s="318"/>
      <c r="L48" s="308"/>
    </row>
    <row r="49" spans="8:12">
      <c r="H49" s="318"/>
      <c r="I49" s="318"/>
      <c r="J49" s="307"/>
      <c r="K49" s="318"/>
      <c r="L49" s="308"/>
    </row>
    <row r="50" spans="8:12">
      <c r="H50" s="318"/>
      <c r="I50" s="318"/>
      <c r="J50" s="307"/>
      <c r="K50" s="318"/>
      <c r="L50" s="308"/>
    </row>
    <row r="51" spans="8:12">
      <c r="H51" s="318"/>
      <c r="I51" s="318"/>
      <c r="J51" s="307"/>
      <c r="K51" s="318"/>
      <c r="L51" s="308"/>
    </row>
    <row r="52" spans="8:12">
      <c r="H52" s="318"/>
      <c r="I52" s="318"/>
      <c r="J52" s="307"/>
      <c r="K52" s="318"/>
      <c r="L52" s="308"/>
    </row>
  </sheetData>
  <sheetProtection selectLockedCells="1"/>
  <mergeCells count="3">
    <mergeCell ref="B6:D6"/>
    <mergeCell ref="G6:H7"/>
    <mergeCell ref="A9:L9"/>
  </mergeCells>
  <dataValidations count="2">
    <dataValidation type="list" allowBlank="1" showDropDown="1" showInputMessage="1" showErrorMessage="1" sqref="D4:G4" xr:uid="{84058973-21A9-44A1-81DA-4E85790DEA73}">
      <formula1>"Baden-Württemberg,Bayern,Berlin,Brandenburg,Bremen,Hamburg,Hessen,Mecklenburg-Vorpommern,Niedersachsen,Nordrhein-Westfalen,Rheinland-Pfalz,Saarland,Sachsen,Sachsen-Anhalt,Schleswig-Holstein,Thüringen"</formula1>
    </dataValidation>
    <dataValidation allowBlank="1" showDropDown="1" showInputMessage="1" showErrorMessage="1" sqref="D3:G3" xr:uid="{F8F2913F-DD62-4B87-93D6-7985722964D3}"/>
  </dataValidations>
  <hyperlinks>
    <hyperlink ref="G11" r:id="rId1" xr:uid="{99218E6E-A240-4065-AA8B-049E2DF55C86}"/>
  </hyperlinks>
  <pageMargins left="0.59055118110236227" right="0.59055118110236227" top="0.80062500000000003" bottom="0.65447916666666661" header="0.31496062992125984" footer="0.31496062992125984"/>
  <pageSetup paperSize="9" scale="55" fitToHeight="0" orientation="landscape" r:id="rId2"/>
  <headerFooter>
    <oddHeader>&amp;R&amp;G</oddHeader>
    <oddFooter>&amp;L&amp;"-,Standard"&amp;10Agritech Solutions GmbH&amp;C&amp;"-,Standard"&amp;10Rev. 01&amp;R&amp;"-,Standard"&amp;10Seite &amp;P von &amp;N</oddFooter>
  </headerFooter>
  <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7BCD-28E9-4BC6-8F6A-A728EBF80446}">
  <sheetPr>
    <pageSetUpPr fitToPage="1"/>
  </sheetPr>
  <dimension ref="A2:E39"/>
  <sheetViews>
    <sheetView zoomScaleNormal="85" workbookViewId="0">
      <selection activeCell="C12" sqref="C12"/>
    </sheetView>
  </sheetViews>
  <sheetFormatPr baseColWidth="10" defaultColWidth="11.5546875" defaultRowHeight="15"/>
  <cols>
    <col min="1" max="1" width="5" style="142" customWidth="1"/>
    <col min="2" max="2" width="30.21875" style="141" customWidth="1"/>
    <col min="3" max="3" width="54.21875" style="142" customWidth="1"/>
    <col min="4" max="4" width="26.88671875" style="142" customWidth="1"/>
    <col min="5" max="5" width="17" style="142" customWidth="1"/>
    <col min="6" max="16384" width="11.5546875" style="142"/>
  </cols>
  <sheetData>
    <row r="2" spans="1:5" ht="19.5">
      <c r="A2" s="403" t="s">
        <v>168</v>
      </c>
      <c r="B2" s="403"/>
    </row>
    <row r="3" spans="1:5" s="145" customFormat="1" ht="21" customHeight="1">
      <c r="A3" s="404" t="s">
        <v>125</v>
      </c>
      <c r="B3" s="404"/>
      <c r="C3" s="404"/>
    </row>
    <row r="4" spans="1:5" s="145" customFormat="1" ht="30" customHeight="1">
      <c r="A4" s="144"/>
      <c r="B4" s="143"/>
      <c r="C4" s="144"/>
      <c r="D4"/>
    </row>
    <row r="5" spans="1:5" s="147" customFormat="1">
      <c r="A5" s="400" t="s">
        <v>0</v>
      </c>
      <c r="B5" s="400"/>
      <c r="C5" s="146">
        <v>45581</v>
      </c>
      <c r="D5" s="151"/>
    </row>
    <row r="6" spans="1:5" s="147" customFormat="1">
      <c r="A6" s="405" t="s">
        <v>93</v>
      </c>
      <c r="B6" s="405"/>
      <c r="C6" s="140" t="s">
        <v>89</v>
      </c>
    </row>
    <row r="7" spans="1:5" s="147" customFormat="1" ht="15" customHeight="1">
      <c r="A7" s="162"/>
      <c r="C7" s="140"/>
      <c r="D7" s="140"/>
    </row>
    <row r="8" spans="1:5" s="147" customFormat="1">
      <c r="A8" s="400" t="s">
        <v>90</v>
      </c>
      <c r="B8" s="400"/>
      <c r="C8" s="264"/>
      <c r="D8" s="140"/>
      <c r="E8" s="145"/>
    </row>
    <row r="9" spans="1:5" s="147" customFormat="1">
      <c r="A9" s="406" t="s">
        <v>91</v>
      </c>
      <c r="B9" s="406"/>
      <c r="C9" s="265"/>
      <c r="D9" s="150"/>
      <c r="E9" s="145"/>
    </row>
    <row r="10" spans="1:5" s="147" customFormat="1">
      <c r="A10" s="161"/>
      <c r="C10" s="140"/>
      <c r="D10" s="150"/>
      <c r="E10" s="145"/>
    </row>
    <row r="11" spans="1:5" s="147" customFormat="1">
      <c r="A11" s="400" t="s">
        <v>104</v>
      </c>
      <c r="B11" s="400"/>
      <c r="C11" s="139" t="s">
        <v>169</v>
      </c>
      <c r="D11" s="150"/>
      <c r="E11" s="145"/>
    </row>
    <row r="12" spans="1:5" s="147" customFormat="1">
      <c r="A12" s="400" t="s">
        <v>105</v>
      </c>
      <c r="B12" s="400"/>
      <c r="C12" s="139" t="s">
        <v>169</v>
      </c>
      <c r="D12" s="140"/>
      <c r="E12" s="145"/>
    </row>
    <row r="13" spans="1:5" s="147" customFormat="1" ht="15.75" customHeight="1">
      <c r="A13" s="157"/>
      <c r="B13" s="158"/>
      <c r="C13" s="157"/>
      <c r="E13" s="157"/>
    </row>
    <row r="14" spans="1:5" s="147" customFormat="1" ht="27.75" customHeight="1">
      <c r="A14" s="401" t="s">
        <v>139</v>
      </c>
      <c r="B14" s="402"/>
      <c r="C14" s="402"/>
      <c r="D14" s="402"/>
      <c r="E14" s="402"/>
    </row>
    <row r="15" spans="1:5" s="148" customFormat="1" ht="24" customHeight="1">
      <c r="A15" s="166" t="s">
        <v>142</v>
      </c>
      <c r="B15" s="170" t="s">
        <v>107</v>
      </c>
      <c r="C15" s="173" t="s">
        <v>108</v>
      </c>
      <c r="D15" s="177" t="s">
        <v>124</v>
      </c>
      <c r="E15" s="176" t="s">
        <v>120</v>
      </c>
    </row>
    <row r="16" spans="1:5" s="149" customFormat="1" ht="45.75" customHeight="1">
      <c r="A16" s="185">
        <v>1</v>
      </c>
      <c r="B16" s="193" t="s">
        <v>126</v>
      </c>
      <c r="C16" s="190" t="s">
        <v>128</v>
      </c>
      <c r="D16" s="178"/>
      <c r="E16" s="159"/>
    </row>
    <row r="17" spans="1:5" s="149" customFormat="1" ht="129" customHeight="1">
      <c r="A17" s="186">
        <v>2</v>
      </c>
      <c r="B17" s="180" t="s">
        <v>127</v>
      </c>
      <c r="C17" s="249" t="s">
        <v>161</v>
      </c>
      <c r="D17" s="178"/>
      <c r="E17" s="160"/>
    </row>
    <row r="18" spans="1:5" s="149" customFormat="1" ht="39" customHeight="1">
      <c r="A18" s="186">
        <v>3</v>
      </c>
      <c r="B18" s="180" t="s">
        <v>117</v>
      </c>
      <c r="C18" s="247" t="s">
        <v>157</v>
      </c>
      <c r="D18" s="178"/>
      <c r="E18" s="160"/>
    </row>
    <row r="19" spans="1:5" s="149" customFormat="1" ht="67.5" customHeight="1">
      <c r="A19" s="186">
        <v>4</v>
      </c>
      <c r="B19" s="180" t="s">
        <v>119</v>
      </c>
      <c r="C19" s="188" t="s">
        <v>130</v>
      </c>
      <c r="D19" s="178"/>
      <c r="E19" s="160"/>
    </row>
    <row r="20" spans="1:5" s="149" customFormat="1" ht="114" customHeight="1">
      <c r="A20" s="186">
        <v>5</v>
      </c>
      <c r="B20" s="180" t="s">
        <v>131</v>
      </c>
      <c r="C20" s="189" t="s">
        <v>135</v>
      </c>
      <c r="D20" s="179"/>
      <c r="E20" s="163"/>
    </row>
    <row r="21" spans="1:5" s="149" customFormat="1" ht="70.5" customHeight="1">
      <c r="A21" s="186">
        <v>6</v>
      </c>
      <c r="B21" s="180" t="s">
        <v>132</v>
      </c>
      <c r="C21" s="167" t="s">
        <v>133</v>
      </c>
      <c r="D21" s="178"/>
      <c r="E21" s="160"/>
    </row>
    <row r="22" spans="1:5" s="149" customFormat="1" ht="51" customHeight="1">
      <c r="A22" s="186">
        <v>7</v>
      </c>
      <c r="B22" s="180" t="s">
        <v>134</v>
      </c>
      <c r="C22" s="167" t="s">
        <v>141</v>
      </c>
      <c r="D22" s="178"/>
      <c r="E22" s="160"/>
    </row>
    <row r="23" spans="1:5" s="149" customFormat="1" ht="28.5" customHeight="1">
      <c r="A23" s="186">
        <v>8</v>
      </c>
      <c r="B23" s="180" t="s">
        <v>115</v>
      </c>
      <c r="C23" s="167" t="s">
        <v>116</v>
      </c>
      <c r="D23" s="178"/>
      <c r="E23" s="160"/>
    </row>
    <row r="24" spans="1:5" s="149" customFormat="1" ht="26.25" customHeight="1">
      <c r="A24" s="186">
        <v>9</v>
      </c>
      <c r="B24" s="180"/>
      <c r="C24" s="191"/>
      <c r="D24" s="178"/>
      <c r="E24" s="160"/>
    </row>
    <row r="25" spans="1:5" s="149" customFormat="1" ht="26.25" customHeight="1">
      <c r="A25" s="186"/>
      <c r="B25" s="181"/>
      <c r="C25" s="192"/>
      <c r="D25" s="184"/>
      <c r="E25" s="160"/>
    </row>
    <row r="26" spans="1:5" s="149" customFormat="1" ht="26.25" customHeight="1">
      <c r="A26" s="187"/>
      <c r="B26" s="181"/>
      <c r="C26" s="192"/>
      <c r="D26" s="184"/>
      <c r="E26" s="160"/>
    </row>
    <row r="27" spans="1:5" s="149" customFormat="1" ht="26.25" customHeight="1">
      <c r="A27" s="186"/>
      <c r="B27" s="181"/>
      <c r="C27" s="192"/>
      <c r="D27" s="184"/>
      <c r="E27" s="160"/>
    </row>
    <row r="28" spans="1:5" s="149" customFormat="1" ht="26.25" customHeight="1">
      <c r="A28" s="186"/>
      <c r="B28" s="181"/>
      <c r="C28" s="192"/>
      <c r="D28" s="184"/>
      <c r="E28" s="160"/>
    </row>
    <row r="29" spans="1:5">
      <c r="A29" s="187"/>
      <c r="B29" s="168"/>
      <c r="C29" s="168"/>
      <c r="D29" s="164"/>
      <c r="E29" s="164"/>
    </row>
    <row r="30" spans="1:5">
      <c r="A30" s="165"/>
      <c r="B30" s="168"/>
      <c r="C30" s="168"/>
      <c r="D30" s="164"/>
      <c r="E30" s="164"/>
    </row>
    <row r="31" spans="1:5">
      <c r="A31" s="165"/>
      <c r="B31" s="168"/>
      <c r="C31" s="168"/>
      <c r="D31" s="164"/>
      <c r="E31" s="164"/>
    </row>
    <row r="32" spans="1:5">
      <c r="A32" s="164"/>
      <c r="B32" s="168"/>
      <c r="C32" s="168"/>
      <c r="D32" s="164"/>
      <c r="E32" s="164"/>
    </row>
    <row r="33" spans="1:3">
      <c r="A33" s="164"/>
      <c r="B33" s="168"/>
      <c r="C33" s="168"/>
    </row>
    <row r="34" spans="1:3">
      <c r="B34" s="169"/>
      <c r="C34" s="168"/>
    </row>
    <row r="35" spans="1:3">
      <c r="B35" s="169"/>
      <c r="C35" s="168"/>
    </row>
    <row r="36" spans="1:3">
      <c r="B36" s="169"/>
      <c r="C36" s="168"/>
    </row>
    <row r="37" spans="1:3">
      <c r="B37" s="169"/>
      <c r="C37" s="168"/>
    </row>
    <row r="38" spans="1:3">
      <c r="B38" s="169"/>
    </row>
    <row r="39" spans="1:3">
      <c r="B39" s="169"/>
    </row>
  </sheetData>
  <mergeCells count="9">
    <mergeCell ref="A11:B11"/>
    <mergeCell ref="A12:B12"/>
    <mergeCell ref="A14:E14"/>
    <mergeCell ref="A2:B2"/>
    <mergeCell ref="A3:C3"/>
    <mergeCell ref="A5:B5"/>
    <mergeCell ref="A6:B6"/>
    <mergeCell ref="A8:B8"/>
    <mergeCell ref="A9:B9"/>
  </mergeCells>
  <dataValidations count="2">
    <dataValidation type="list" allowBlank="1" showInputMessage="1" showErrorMessage="1" sqref="E19:E20" xr:uid="{3E21675E-DE04-4F2A-B41E-790DFC8B96D3}">
      <formula1>#REF!</formula1>
    </dataValidation>
    <dataValidation allowBlank="1" showDropDown="1" showInputMessage="1" showErrorMessage="1" sqref="D3" xr:uid="{CACCB6BD-72F9-405E-B938-40B35D2A32D9}"/>
  </dataValidations>
  <pageMargins left="0.7" right="0.7" top="0.6645833333333333" bottom="0.78740157499999996" header="0.3" footer="0.3"/>
  <pageSetup paperSize="9" scale="55" fitToHeight="0" orientation="portrait" r:id="rId1"/>
  <headerFooter>
    <oddHeader>&amp;R&amp;G</oddHeader>
    <oddFooter>&amp;L&amp;"-,Standard"&amp;10Agritech Solutions GmbH&amp;C&amp;"-,Standard"&amp;10Rev. 00&amp;R&amp;"-,Standard"&amp;10Seite &amp;P von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7050-0A37-4A48-B493-C163C5C220B6}">
  <sheetPr>
    <pageSetUpPr fitToPage="1"/>
  </sheetPr>
  <dimension ref="A2:E39"/>
  <sheetViews>
    <sheetView zoomScaleNormal="85" workbookViewId="0">
      <selection activeCell="D20" sqref="D20"/>
    </sheetView>
  </sheetViews>
  <sheetFormatPr baseColWidth="10" defaultColWidth="11.5546875" defaultRowHeight="15"/>
  <cols>
    <col min="1" max="1" width="5" style="142" customWidth="1"/>
    <col min="2" max="2" width="30.21875" style="141" customWidth="1"/>
    <col min="3" max="3" width="54.21875" style="142" customWidth="1"/>
    <col min="4" max="4" width="26.88671875" style="142" customWidth="1"/>
    <col min="5" max="5" width="17" style="142" customWidth="1"/>
    <col min="6" max="16384" width="11.5546875" style="142"/>
  </cols>
  <sheetData>
    <row r="2" spans="1:5" ht="19.5">
      <c r="A2" s="403" t="s">
        <v>168</v>
      </c>
      <c r="B2" s="403"/>
    </row>
    <row r="3" spans="1:5" s="145" customFormat="1" ht="21" customHeight="1">
      <c r="A3" s="404" t="s">
        <v>123</v>
      </c>
      <c r="B3" s="404"/>
      <c r="C3" s="404"/>
    </row>
    <row r="4" spans="1:5" s="145" customFormat="1" ht="30" customHeight="1">
      <c r="A4" s="144"/>
      <c r="B4" s="143"/>
      <c r="C4" s="144"/>
      <c r="D4"/>
    </row>
    <row r="5" spans="1:5" s="147" customFormat="1">
      <c r="A5" s="400" t="s">
        <v>0</v>
      </c>
      <c r="B5" s="400"/>
      <c r="C5" s="146">
        <v>46085</v>
      </c>
      <c r="D5" s="151"/>
    </row>
    <row r="6" spans="1:5" s="147" customFormat="1">
      <c r="A6" s="405" t="s">
        <v>93</v>
      </c>
      <c r="B6" s="405"/>
      <c r="C6" s="140" t="s">
        <v>89</v>
      </c>
      <c r="D6" s="140"/>
    </row>
    <row r="7" spans="1:5" s="147" customFormat="1" ht="15" customHeight="1">
      <c r="A7" s="162"/>
      <c r="C7" s="140"/>
      <c r="D7" s="140"/>
    </row>
    <row r="8" spans="1:5" s="147" customFormat="1">
      <c r="A8" s="400" t="s">
        <v>90</v>
      </c>
      <c r="B8" s="400"/>
      <c r="C8" s="264"/>
      <c r="D8" s="140"/>
      <c r="E8" s="145"/>
    </row>
    <row r="9" spans="1:5" s="147" customFormat="1">
      <c r="A9" s="406" t="s">
        <v>91</v>
      </c>
      <c r="B9" s="406"/>
      <c r="C9" s="265"/>
      <c r="D9" s="150"/>
      <c r="E9" s="145"/>
    </row>
    <row r="10" spans="1:5" s="147" customFormat="1">
      <c r="A10" s="161"/>
      <c r="C10" s="140"/>
      <c r="D10" s="150"/>
      <c r="E10" s="145"/>
    </row>
    <row r="11" spans="1:5" s="147" customFormat="1">
      <c r="A11" s="400" t="s">
        <v>104</v>
      </c>
      <c r="B11" s="400"/>
      <c r="C11" s="139" t="s">
        <v>169</v>
      </c>
      <c r="D11" s="150"/>
      <c r="E11" s="145"/>
    </row>
    <row r="12" spans="1:5" s="147" customFormat="1">
      <c r="A12" s="400" t="s">
        <v>105</v>
      </c>
      <c r="B12" s="400"/>
      <c r="C12" s="139" t="s">
        <v>169</v>
      </c>
      <c r="D12" s="150"/>
      <c r="E12" s="145"/>
    </row>
    <row r="13" spans="1:5" s="147" customFormat="1" ht="15.75" customHeight="1">
      <c r="A13" s="157"/>
      <c r="B13" s="158"/>
      <c r="C13" s="157"/>
      <c r="D13" s="157"/>
      <c r="E13" s="157"/>
    </row>
    <row r="14" spans="1:5" s="147" customFormat="1" ht="27.75" customHeight="1">
      <c r="A14" s="401" t="s">
        <v>140</v>
      </c>
      <c r="B14" s="402"/>
      <c r="C14" s="402"/>
      <c r="D14" s="402"/>
      <c r="E14" s="402"/>
    </row>
    <row r="15" spans="1:5" s="148" customFormat="1" ht="24" customHeight="1">
      <c r="A15" s="166" t="s">
        <v>142</v>
      </c>
      <c r="B15" s="170" t="s">
        <v>107</v>
      </c>
      <c r="C15" s="173" t="s">
        <v>108</v>
      </c>
      <c r="D15" s="177" t="s">
        <v>124</v>
      </c>
      <c r="E15" s="176" t="s">
        <v>120</v>
      </c>
    </row>
    <row r="16" spans="1:5" s="149" customFormat="1" ht="45.75" customHeight="1">
      <c r="A16" s="185">
        <v>1</v>
      </c>
      <c r="B16" s="171" t="s">
        <v>121</v>
      </c>
      <c r="C16" s="174" t="s">
        <v>122</v>
      </c>
      <c r="D16" s="178"/>
      <c r="E16" s="159"/>
    </row>
    <row r="17" spans="1:5" s="149" customFormat="1" ht="66.75" customHeight="1">
      <c r="A17" s="186">
        <v>2</v>
      </c>
      <c r="B17" s="172" t="s">
        <v>109</v>
      </c>
      <c r="C17" s="175" t="s">
        <v>129</v>
      </c>
      <c r="D17" s="178"/>
      <c r="E17" s="160"/>
    </row>
    <row r="18" spans="1:5" s="149" customFormat="1" ht="30">
      <c r="A18" s="186">
        <v>3</v>
      </c>
      <c r="B18" s="172" t="s">
        <v>117</v>
      </c>
      <c r="C18" s="175" t="s">
        <v>118</v>
      </c>
      <c r="D18" s="178"/>
      <c r="E18" s="160"/>
    </row>
    <row r="19" spans="1:5" s="149" customFormat="1" ht="34.5" customHeight="1">
      <c r="A19" s="186">
        <v>4</v>
      </c>
      <c r="B19" s="172" t="s">
        <v>119</v>
      </c>
      <c r="C19" s="175" t="s">
        <v>138</v>
      </c>
      <c r="D19" s="178"/>
      <c r="E19" s="160"/>
    </row>
    <row r="20" spans="1:5" s="149" customFormat="1" ht="105">
      <c r="A20" s="186">
        <v>5</v>
      </c>
      <c r="B20" s="171" t="s">
        <v>136</v>
      </c>
      <c r="C20" s="174" t="s">
        <v>137</v>
      </c>
      <c r="D20" s="179"/>
      <c r="E20" s="163"/>
    </row>
    <row r="21" spans="1:5" s="149" customFormat="1" ht="30">
      <c r="A21" s="186">
        <v>6</v>
      </c>
      <c r="B21" s="180" t="s">
        <v>110</v>
      </c>
      <c r="C21" s="266" t="s">
        <v>170</v>
      </c>
      <c r="D21" s="178"/>
      <c r="E21" s="160"/>
    </row>
    <row r="22" spans="1:5" s="149" customFormat="1" ht="135">
      <c r="A22" s="186">
        <v>7</v>
      </c>
      <c r="B22" s="180" t="s">
        <v>111</v>
      </c>
      <c r="C22" s="182" t="s">
        <v>112</v>
      </c>
      <c r="D22" s="178"/>
      <c r="E22" s="160"/>
    </row>
    <row r="23" spans="1:5" s="149" customFormat="1" ht="60">
      <c r="A23" s="186">
        <v>8</v>
      </c>
      <c r="B23" s="180" t="s">
        <v>113</v>
      </c>
      <c r="C23" s="182" t="s">
        <v>114</v>
      </c>
      <c r="D23" s="178"/>
      <c r="E23" s="160"/>
    </row>
    <row r="24" spans="1:5" s="149" customFormat="1" ht="26.25" customHeight="1">
      <c r="A24" s="186">
        <v>9</v>
      </c>
      <c r="B24" s="180" t="s">
        <v>115</v>
      </c>
      <c r="C24" s="182" t="s">
        <v>116</v>
      </c>
      <c r="D24" s="178"/>
      <c r="E24" s="160"/>
    </row>
    <row r="25" spans="1:5" s="149" customFormat="1" ht="26.25" customHeight="1">
      <c r="A25" s="186"/>
      <c r="B25" s="181"/>
      <c r="C25" s="183"/>
      <c r="D25" s="184"/>
      <c r="E25" s="160"/>
    </row>
    <row r="26" spans="1:5" s="149" customFormat="1" ht="26.25" customHeight="1">
      <c r="A26" s="187"/>
      <c r="B26" s="181"/>
      <c r="C26" s="183"/>
      <c r="D26" s="184"/>
      <c r="E26" s="160"/>
    </row>
    <row r="27" spans="1:5" s="149" customFormat="1" ht="26.25" customHeight="1">
      <c r="A27" s="186"/>
      <c r="B27" s="181"/>
      <c r="C27" s="183"/>
      <c r="D27" s="184"/>
      <c r="E27" s="160"/>
    </row>
    <row r="28" spans="1:5" s="149" customFormat="1" ht="26.25" customHeight="1">
      <c r="A28" s="186"/>
      <c r="B28" s="181"/>
      <c r="C28" s="183"/>
      <c r="D28" s="184"/>
      <c r="E28" s="160"/>
    </row>
    <row r="29" spans="1:5">
      <c r="A29" s="187"/>
      <c r="B29" s="168"/>
      <c r="C29" s="168"/>
      <c r="D29" s="164"/>
      <c r="E29" s="164"/>
    </row>
    <row r="30" spans="1:5">
      <c r="A30" s="165"/>
      <c r="B30" s="168"/>
      <c r="C30" s="168"/>
      <c r="D30" s="164"/>
      <c r="E30" s="164"/>
    </row>
    <row r="31" spans="1:5">
      <c r="A31" s="165"/>
      <c r="B31" s="168"/>
      <c r="C31" s="168"/>
      <c r="D31" s="164"/>
      <c r="E31" s="164"/>
    </row>
    <row r="32" spans="1:5">
      <c r="A32" s="164"/>
      <c r="B32" s="168"/>
      <c r="C32" s="168"/>
      <c r="D32" s="164"/>
      <c r="E32" s="164"/>
    </row>
    <row r="33" spans="2:3">
      <c r="B33" s="169"/>
      <c r="C33" s="169"/>
    </row>
    <row r="34" spans="2:3">
      <c r="B34" s="169"/>
      <c r="C34" s="169"/>
    </row>
    <row r="35" spans="2:3">
      <c r="B35" s="169"/>
      <c r="C35" s="169"/>
    </row>
    <row r="36" spans="2:3">
      <c r="B36" s="169"/>
      <c r="C36" s="169"/>
    </row>
    <row r="37" spans="2:3">
      <c r="B37" s="169"/>
    </row>
    <row r="38" spans="2:3">
      <c r="B38" s="169"/>
    </row>
    <row r="39" spans="2:3">
      <c r="B39" s="169"/>
    </row>
  </sheetData>
  <mergeCells count="9">
    <mergeCell ref="A14:E14"/>
    <mergeCell ref="A9:B9"/>
    <mergeCell ref="A11:B11"/>
    <mergeCell ref="A12:B12"/>
    <mergeCell ref="A2:B2"/>
    <mergeCell ref="A3:C3"/>
    <mergeCell ref="A5:B5"/>
    <mergeCell ref="A6:B6"/>
    <mergeCell ref="A8:B8"/>
  </mergeCells>
  <dataValidations count="2">
    <dataValidation allowBlank="1" showDropDown="1" showInputMessage="1" showErrorMessage="1" sqref="D3" xr:uid="{09AC6299-BFAF-4420-89C0-CF2F647FF985}"/>
    <dataValidation type="list" allowBlank="1" showInputMessage="1" showErrorMessage="1" sqref="E19:E20" xr:uid="{4D713F3E-8BAF-42BB-A56D-A7544EB6D7D4}">
      <formula1>#REF!</formula1>
    </dataValidation>
  </dataValidations>
  <pageMargins left="0.7" right="0.7" top="0.6645833333333333" bottom="0.78740157499999996" header="0.3" footer="0.3"/>
  <pageSetup paperSize="9" scale="55" fitToHeight="0" orientation="portrait" r:id="rId1"/>
  <headerFooter>
    <oddHeader>&amp;R&amp;G</oddHeader>
    <oddFooter>&amp;L&amp;"-,Standard"&amp;10Agritech Solutions GmbH&amp;C&amp;"-,Standard"&amp;10Rev. 00&amp;R&amp;"-,Standard"&amp;10Seite &amp;P von &amp;N</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52C4-7614-4337-97D8-C2F3ACBE0624}">
  <sheetPr>
    <tabColor theme="4"/>
  </sheetPr>
  <dimension ref="A3:J24"/>
  <sheetViews>
    <sheetView topLeftCell="I18" workbookViewId="0">
      <selection activeCell="M17" sqref="M17"/>
    </sheetView>
  </sheetViews>
  <sheetFormatPr baseColWidth="10" defaultRowHeight="15"/>
  <cols>
    <col min="1" max="1" width="13.88671875" customWidth="1"/>
    <col min="9" max="9" width="23.44140625" customWidth="1"/>
  </cols>
  <sheetData>
    <row r="3" spans="1:10">
      <c r="A3" s="18" t="s">
        <v>63</v>
      </c>
    </row>
    <row r="5" spans="1:10" ht="48.75" thickBot="1">
      <c r="A5" s="109" t="s">
        <v>52</v>
      </c>
      <c r="B5" s="110" t="s">
        <v>53</v>
      </c>
      <c r="C5" s="110" t="s">
        <v>54</v>
      </c>
      <c r="D5" s="110" t="s">
        <v>55</v>
      </c>
      <c r="E5" s="110" t="s">
        <v>56</v>
      </c>
    </row>
    <row r="6" spans="1:10" ht="16.5" thickTop="1">
      <c r="A6" s="111" t="s">
        <v>57</v>
      </c>
      <c r="B6" s="113">
        <v>156</v>
      </c>
      <c r="C6" s="112">
        <v>40</v>
      </c>
      <c r="D6" s="113">
        <v>37</v>
      </c>
      <c r="E6" s="114"/>
      <c r="I6" t="e">
        <f>+#REF!</f>
        <v>#REF!</v>
      </c>
      <c r="J6" t="e">
        <f>+#REF!</f>
        <v>#REF!</v>
      </c>
    </row>
    <row r="7" spans="1:10" ht="15.75">
      <c r="A7" s="115" t="s">
        <v>58</v>
      </c>
      <c r="B7" s="117">
        <v>240</v>
      </c>
      <c r="C7" s="116">
        <v>63</v>
      </c>
      <c r="D7" s="117">
        <v>57</v>
      </c>
      <c r="E7" s="118"/>
      <c r="I7" t="e">
        <f>+#REF!</f>
        <v>#REF!</v>
      </c>
      <c r="J7" t="e">
        <f>+#REF!</f>
        <v>#REF!</v>
      </c>
    </row>
    <row r="8" spans="1:10" ht="15.75">
      <c r="A8" s="111" t="s">
        <v>65</v>
      </c>
      <c r="B8" s="113">
        <v>384</v>
      </c>
      <c r="C8" s="112">
        <v>100</v>
      </c>
      <c r="D8" s="113">
        <v>92</v>
      </c>
      <c r="E8" s="114">
        <v>160000</v>
      </c>
    </row>
    <row r="9" spans="1:10" ht="15.75">
      <c r="A9" s="115" t="s">
        <v>59</v>
      </c>
      <c r="B9" s="117">
        <v>608</v>
      </c>
      <c r="C9" s="116">
        <v>160</v>
      </c>
      <c r="D9" s="117">
        <v>146</v>
      </c>
      <c r="E9" s="118"/>
    </row>
    <row r="10" spans="1:10" ht="15.75">
      <c r="A10" s="111" t="s">
        <v>60</v>
      </c>
      <c r="B10" s="113">
        <v>944</v>
      </c>
      <c r="C10" s="112">
        <v>250</v>
      </c>
      <c r="D10" s="113">
        <v>256</v>
      </c>
      <c r="E10" s="114"/>
    </row>
    <row r="11" spans="1:10" ht="15.75">
      <c r="A11" s="115" t="s">
        <v>61</v>
      </c>
      <c r="B11" s="117">
        <v>1520</v>
      </c>
      <c r="C11" s="116">
        <v>400</v>
      </c>
      <c r="D11" s="117">
        <v>364</v>
      </c>
      <c r="E11" s="118"/>
      <c r="I11" t="e">
        <f>+#REF!</f>
        <v>#REF!</v>
      </c>
      <c r="J11" t="e">
        <f>+#REF!</f>
        <v>#REF!</v>
      </c>
    </row>
    <row r="12" spans="1:10" ht="15.75">
      <c r="A12" s="111" t="s">
        <v>62</v>
      </c>
      <c r="B12" s="113">
        <v>1888</v>
      </c>
      <c r="C12" s="112">
        <v>500</v>
      </c>
      <c r="D12" s="113">
        <v>453</v>
      </c>
      <c r="E12" s="114"/>
    </row>
    <row r="14" spans="1:10">
      <c r="I14" t="e">
        <f>+#REF!</f>
        <v>#REF!</v>
      </c>
      <c r="J14" t="e">
        <f>+#REF!</f>
        <v>#REF!</v>
      </c>
    </row>
    <row r="15" spans="1:10">
      <c r="C15" t="s">
        <v>83</v>
      </c>
      <c r="D15" t="s">
        <v>82</v>
      </c>
    </row>
    <row r="16" spans="1:10">
      <c r="C16" t="e">
        <f>+#REF!</f>
        <v>#REF!</v>
      </c>
      <c r="D16" t="e">
        <f>+#REF!</f>
        <v>#REF!</v>
      </c>
      <c r="I16" t="e">
        <f>+#REF!</f>
        <v>#REF!</v>
      </c>
      <c r="J16" t="e">
        <f>+#REF!</f>
        <v>#REF!</v>
      </c>
    </row>
    <row r="17" spans="9:10">
      <c r="I17" t="s">
        <v>84</v>
      </c>
      <c r="J17" t="e">
        <f>+#REF!+#REF!</f>
        <v>#REF!</v>
      </c>
    </row>
    <row r="18" spans="9:10">
      <c r="I18" t="e">
        <f>+#REF!</f>
        <v>#REF!</v>
      </c>
      <c r="J18" t="e">
        <f>+#REF!</f>
        <v>#REF!</v>
      </c>
    </row>
    <row r="19" spans="9:10">
      <c r="I19" t="e">
        <f>+#REF!</f>
        <v>#REF!</v>
      </c>
      <c r="J19" t="e">
        <f>+#REF!</f>
        <v>#REF!</v>
      </c>
    </row>
    <row r="20" spans="9:10">
      <c r="I20" t="s">
        <v>85</v>
      </c>
      <c r="J20" t="e">
        <f>SUM(#REF!)</f>
        <v>#REF!</v>
      </c>
    </row>
    <row r="24" spans="9:10">
      <c r="I24" t="e">
        <f>+#REF!</f>
        <v>#REF!</v>
      </c>
      <c r="J24" t="e">
        <f>+#REF!</f>
        <v>#REF!</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E96E-DA64-44BB-A9D9-5F53BD5BABCC}">
  <sheetPr>
    <tabColor theme="4"/>
    <pageSetUpPr fitToPage="1"/>
  </sheetPr>
  <dimension ref="A1:BD400"/>
  <sheetViews>
    <sheetView showGridLines="0" topLeftCell="A17" zoomScaleNormal="100" workbookViewId="0">
      <selection activeCell="J56" sqref="J56"/>
    </sheetView>
  </sheetViews>
  <sheetFormatPr baseColWidth="10" defaultColWidth="11.5546875" defaultRowHeight="15"/>
  <cols>
    <col min="1" max="1" width="3.6640625" style="8" customWidth="1"/>
    <col min="2" max="4" width="11.5546875" style="8"/>
    <col min="5" max="6" width="1.109375" style="8" customWidth="1"/>
    <col min="7" max="7" width="4" style="8" customWidth="1"/>
    <col min="8" max="8" width="8.5546875" style="8" hidden="1" customWidth="1"/>
    <col min="9" max="9" width="9.21875" style="8" hidden="1" customWidth="1"/>
    <col min="10" max="10" width="10.6640625" style="8" bestFit="1" customWidth="1"/>
    <col min="11" max="11" width="10.33203125" style="8" bestFit="1" customWidth="1"/>
    <col min="12" max="14" width="10.6640625" style="8" bestFit="1" customWidth="1"/>
    <col min="15" max="15" width="10.33203125" style="8" bestFit="1" customWidth="1"/>
    <col min="16" max="20" width="10.6640625" style="8" bestFit="1" customWidth="1"/>
    <col min="21" max="21" width="11.33203125" style="8" bestFit="1" customWidth="1"/>
    <col min="22" max="22" width="11" style="8" bestFit="1" customWidth="1"/>
    <col min="23" max="24" width="11.33203125" style="8" bestFit="1" customWidth="1"/>
    <col min="25" max="25" width="11" style="8" hidden="1" customWidth="1"/>
    <col min="26" max="56" width="11.5546875" style="7"/>
    <col min="57" max="16384" width="11.5546875" style="8"/>
  </cols>
  <sheetData>
    <row r="1" spans="1:56" ht="80.650000000000006" customHeight="1">
      <c r="A1" s="22"/>
      <c r="B1" s="86"/>
      <c r="C1" s="21"/>
      <c r="D1" s="22"/>
      <c r="E1" s="17"/>
      <c r="F1" s="17"/>
      <c r="G1" s="17"/>
      <c r="H1" s="17"/>
      <c r="I1" s="17"/>
      <c r="J1" s="17"/>
      <c r="K1" s="17"/>
      <c r="L1" s="17"/>
      <c r="M1" s="17"/>
      <c r="N1" s="17"/>
      <c r="O1" s="17"/>
      <c r="P1" s="17"/>
      <c r="Q1" s="17"/>
      <c r="R1" s="17"/>
      <c r="S1" s="17"/>
      <c r="T1" s="17"/>
      <c r="U1" s="17"/>
      <c r="V1" s="17"/>
      <c r="W1" s="17"/>
      <c r="X1" s="17"/>
      <c r="Y1" s="17"/>
    </row>
    <row r="2" spans="1:56">
      <c r="A2" s="22" t="s">
        <v>15</v>
      </c>
      <c r="B2" s="22"/>
      <c r="C2" s="119" t="e">
        <f>+#REF!</f>
        <v>#REF!</v>
      </c>
      <c r="D2" s="23"/>
      <c r="E2" s="17"/>
      <c r="F2" s="17"/>
      <c r="G2" s="17"/>
      <c r="H2" s="17"/>
      <c r="I2" s="17" t="s">
        <v>0</v>
      </c>
      <c r="J2" s="407" t="e">
        <f>+#REF!</f>
        <v>#REF!</v>
      </c>
      <c r="K2" s="407"/>
      <c r="L2" s="17"/>
      <c r="M2" s="17"/>
      <c r="N2" s="17"/>
      <c r="O2" s="17"/>
      <c r="P2" s="17"/>
      <c r="Q2" s="17"/>
      <c r="R2" s="17"/>
      <c r="S2" s="17"/>
      <c r="T2" s="17"/>
      <c r="U2" s="17"/>
      <c r="V2" s="17"/>
      <c r="W2" s="17"/>
      <c r="X2" s="17"/>
      <c r="Y2" s="17"/>
    </row>
    <row r="3" spans="1:56" ht="6" customHeight="1">
      <c r="A3" s="17"/>
      <c r="B3" s="17"/>
      <c r="C3" s="17"/>
      <c r="D3" s="17"/>
      <c r="E3" s="17"/>
      <c r="F3" s="17"/>
      <c r="G3" s="17"/>
      <c r="H3" s="17"/>
      <c r="I3" s="17"/>
      <c r="J3" s="17"/>
      <c r="K3" s="17"/>
      <c r="L3" s="17"/>
      <c r="M3" s="17"/>
      <c r="N3" s="17"/>
      <c r="O3" s="17"/>
      <c r="P3" s="17"/>
      <c r="Q3" s="17"/>
      <c r="R3" s="17"/>
      <c r="S3" s="17"/>
      <c r="T3" s="17"/>
      <c r="U3" s="17"/>
      <c r="V3" s="17"/>
      <c r="W3" s="17"/>
      <c r="X3" s="17"/>
      <c r="Y3" s="17"/>
    </row>
    <row r="4" spans="1:56" s="7" customFormat="1" ht="21.75" customHeight="1">
      <c r="A4" s="17"/>
      <c r="B4" s="17"/>
      <c r="C4" s="17"/>
      <c r="D4" s="17"/>
      <c r="E4" s="17"/>
      <c r="F4" s="17"/>
      <c r="G4" s="17"/>
      <c r="H4" s="17"/>
      <c r="I4" s="17"/>
      <c r="J4" s="17"/>
      <c r="K4" s="17"/>
      <c r="L4" s="27"/>
      <c r="M4" s="27"/>
      <c r="N4" s="27"/>
      <c r="O4" s="27"/>
      <c r="P4" s="27"/>
      <c r="Q4" s="27"/>
      <c r="R4" s="27"/>
      <c r="S4" s="27"/>
      <c r="T4" s="27"/>
      <c r="U4" s="27"/>
      <c r="V4" s="27"/>
      <c r="W4" s="27"/>
      <c r="X4" s="27"/>
      <c r="Y4" s="27"/>
    </row>
    <row r="5" spans="1:56" s="93" customFormat="1" ht="20.25" customHeight="1">
      <c r="A5" s="87" t="s">
        <v>16</v>
      </c>
      <c r="B5" s="88"/>
      <c r="C5" s="88"/>
      <c r="D5" s="88"/>
      <c r="E5" s="88"/>
      <c r="F5" s="88"/>
      <c r="G5" s="89"/>
      <c r="H5" s="90"/>
      <c r="I5" s="91" t="e">
        <f>+#REF!</f>
        <v>#REF!</v>
      </c>
      <c r="J5" s="91" t="e">
        <f>+#REF!</f>
        <v>#REF!</v>
      </c>
      <c r="K5" s="91" t="e">
        <f t="shared" ref="K5:X5" si="0">J5+1</f>
        <v>#REF!</v>
      </c>
      <c r="L5" s="91" t="e">
        <f t="shared" si="0"/>
        <v>#REF!</v>
      </c>
      <c r="M5" s="91" t="e">
        <f t="shared" si="0"/>
        <v>#REF!</v>
      </c>
      <c r="N5" s="91" t="e">
        <f t="shared" si="0"/>
        <v>#REF!</v>
      </c>
      <c r="O5" s="91" t="e">
        <f t="shared" si="0"/>
        <v>#REF!</v>
      </c>
      <c r="P5" s="91" t="e">
        <f t="shared" si="0"/>
        <v>#REF!</v>
      </c>
      <c r="Q5" s="91" t="e">
        <f t="shared" si="0"/>
        <v>#REF!</v>
      </c>
      <c r="R5" s="91" t="e">
        <f t="shared" si="0"/>
        <v>#REF!</v>
      </c>
      <c r="S5" s="91" t="e">
        <f t="shared" si="0"/>
        <v>#REF!</v>
      </c>
      <c r="T5" s="91" t="e">
        <f t="shared" si="0"/>
        <v>#REF!</v>
      </c>
      <c r="U5" s="91" t="e">
        <f t="shared" si="0"/>
        <v>#REF!</v>
      </c>
      <c r="V5" s="91" t="e">
        <f t="shared" si="0"/>
        <v>#REF!</v>
      </c>
      <c r="W5" s="91" t="e">
        <f t="shared" si="0"/>
        <v>#REF!</v>
      </c>
      <c r="X5" s="91" t="e">
        <f t="shared" si="0"/>
        <v>#REF!</v>
      </c>
      <c r="Y5" s="91" t="e">
        <f>#REF!+1</f>
        <v>#REF!</v>
      </c>
      <c r="Z5" s="92"/>
      <c r="AA5" s="92"/>
      <c r="AB5" s="92"/>
      <c r="AC5" s="92"/>
      <c r="AD5" s="92"/>
      <c r="AE5" s="92"/>
    </row>
    <row r="6" spans="1:56" s="14" customFormat="1" ht="18.75" customHeight="1">
      <c r="A6" s="36"/>
      <c r="B6" s="25"/>
      <c r="C6" s="25"/>
      <c r="D6" s="25"/>
      <c r="E6" s="25"/>
      <c r="F6" s="25"/>
      <c r="G6" s="37"/>
      <c r="H6" s="79"/>
      <c r="I6" s="79">
        <f t="shared" ref="I6:X6" si="1">H6+1</f>
        <v>1</v>
      </c>
      <c r="J6" s="79">
        <v>1</v>
      </c>
      <c r="K6" s="79">
        <f t="shared" si="1"/>
        <v>2</v>
      </c>
      <c r="L6" s="79">
        <f t="shared" si="1"/>
        <v>3</v>
      </c>
      <c r="M6" s="79">
        <f t="shared" si="1"/>
        <v>4</v>
      </c>
      <c r="N6" s="79">
        <f t="shared" si="1"/>
        <v>5</v>
      </c>
      <c r="O6" s="79">
        <f t="shared" si="1"/>
        <v>6</v>
      </c>
      <c r="P6" s="79">
        <f t="shared" si="1"/>
        <v>7</v>
      </c>
      <c r="Q6" s="79">
        <f t="shared" si="1"/>
        <v>8</v>
      </c>
      <c r="R6" s="79">
        <f t="shared" si="1"/>
        <v>9</v>
      </c>
      <c r="S6" s="79">
        <f t="shared" si="1"/>
        <v>10</v>
      </c>
      <c r="T6" s="79">
        <f t="shared" si="1"/>
        <v>11</v>
      </c>
      <c r="U6" s="79">
        <f t="shared" si="1"/>
        <v>12</v>
      </c>
      <c r="V6" s="79">
        <f t="shared" si="1"/>
        <v>13</v>
      </c>
      <c r="W6" s="79">
        <f t="shared" si="1"/>
        <v>14</v>
      </c>
      <c r="X6" s="79">
        <f t="shared" si="1"/>
        <v>15</v>
      </c>
      <c r="Y6" s="79" t="e">
        <f>#REF!+1</f>
        <v>#REF!</v>
      </c>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row>
    <row r="7" spans="1:56" s="10" customFormat="1" ht="18" customHeight="1">
      <c r="A7" s="28"/>
      <c r="B7" s="2" t="s">
        <v>49</v>
      </c>
      <c r="C7" s="2"/>
      <c r="D7" s="2"/>
      <c r="E7" s="2"/>
      <c r="F7" s="2"/>
      <c r="G7" s="9"/>
      <c r="H7" s="80"/>
      <c r="I7" s="80" t="e">
        <f>+#REF!</f>
        <v>#REF!</v>
      </c>
      <c r="J7" s="80" t="e">
        <f>+#REF!</f>
        <v>#REF!</v>
      </c>
      <c r="K7" s="80" t="e">
        <f>+J7</f>
        <v>#REF!</v>
      </c>
      <c r="L7" s="80" t="e">
        <f t="shared" ref="L7:Y7" si="2">+K7</f>
        <v>#REF!</v>
      </c>
      <c r="M7" s="80" t="e">
        <f t="shared" si="2"/>
        <v>#REF!</v>
      </c>
      <c r="N7" s="80" t="e">
        <f t="shared" si="2"/>
        <v>#REF!</v>
      </c>
      <c r="O7" s="80" t="e">
        <f t="shared" si="2"/>
        <v>#REF!</v>
      </c>
      <c r="P7" s="80" t="e">
        <f t="shared" si="2"/>
        <v>#REF!</v>
      </c>
      <c r="Q7" s="80" t="e">
        <f t="shared" si="2"/>
        <v>#REF!</v>
      </c>
      <c r="R7" s="80" t="e">
        <f t="shared" si="2"/>
        <v>#REF!</v>
      </c>
      <c r="S7" s="80" t="e">
        <f t="shared" si="2"/>
        <v>#REF!</v>
      </c>
      <c r="T7" s="80" t="e">
        <f t="shared" si="2"/>
        <v>#REF!</v>
      </c>
      <c r="U7" s="80" t="e">
        <f t="shared" si="2"/>
        <v>#REF!</v>
      </c>
      <c r="V7" s="80" t="e">
        <f t="shared" si="2"/>
        <v>#REF!</v>
      </c>
      <c r="W7" s="80" t="e">
        <f t="shared" si="2"/>
        <v>#REF!</v>
      </c>
      <c r="X7" s="80" t="e">
        <f t="shared" si="2"/>
        <v>#REF!</v>
      </c>
      <c r="Y7" s="80" t="e">
        <f t="shared" si="2"/>
        <v>#REF!</v>
      </c>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row>
    <row r="8" spans="1:56" s="10" customFormat="1" ht="18" customHeight="1">
      <c r="A8" s="28"/>
      <c r="B8" s="2" t="s">
        <v>51</v>
      </c>
      <c r="C8" s="2"/>
      <c r="D8" s="2"/>
      <c r="E8" s="2"/>
      <c r="F8" s="2"/>
      <c r="G8" s="9"/>
      <c r="H8" s="80"/>
      <c r="I8" s="80" t="e">
        <f>+#REF!</f>
        <v>#REF!</v>
      </c>
      <c r="J8" s="80" t="e">
        <f>+#REF!</f>
        <v>#REF!</v>
      </c>
      <c r="K8" s="80" t="e">
        <f t="shared" ref="K8:Y11" si="3">+J8</f>
        <v>#REF!</v>
      </c>
      <c r="L8" s="80" t="e">
        <f t="shared" si="3"/>
        <v>#REF!</v>
      </c>
      <c r="M8" s="80" t="e">
        <f t="shared" si="3"/>
        <v>#REF!</v>
      </c>
      <c r="N8" s="80" t="e">
        <f t="shared" si="3"/>
        <v>#REF!</v>
      </c>
      <c r="O8" s="80" t="e">
        <f t="shared" si="3"/>
        <v>#REF!</v>
      </c>
      <c r="P8" s="80" t="e">
        <f t="shared" si="3"/>
        <v>#REF!</v>
      </c>
      <c r="Q8" s="80" t="e">
        <f t="shared" si="3"/>
        <v>#REF!</v>
      </c>
      <c r="R8" s="80" t="e">
        <f t="shared" si="3"/>
        <v>#REF!</v>
      </c>
      <c r="S8" s="80" t="e">
        <f t="shared" si="3"/>
        <v>#REF!</v>
      </c>
      <c r="T8" s="80" t="e">
        <f t="shared" si="3"/>
        <v>#REF!</v>
      </c>
      <c r="U8" s="80" t="e">
        <f t="shared" si="3"/>
        <v>#REF!</v>
      </c>
      <c r="V8" s="80" t="e">
        <f t="shared" si="3"/>
        <v>#REF!</v>
      </c>
      <c r="W8" s="80" t="e">
        <f t="shared" si="3"/>
        <v>#REF!</v>
      </c>
      <c r="X8" s="80" t="e">
        <f t="shared" si="3"/>
        <v>#REF!</v>
      </c>
      <c r="Y8" s="80" t="e">
        <f t="shared" si="3"/>
        <v>#REF!</v>
      </c>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row>
    <row r="9" spans="1:56" s="10" customFormat="1" ht="18" customHeight="1">
      <c r="A9" s="28"/>
      <c r="B9" s="2" t="s">
        <v>66</v>
      </c>
      <c r="C9" s="2"/>
      <c r="D9" s="2"/>
      <c r="E9" s="2"/>
      <c r="F9" s="2"/>
      <c r="G9" s="9"/>
      <c r="H9" s="80"/>
      <c r="I9" s="80" t="e">
        <f>+#REF!</f>
        <v>#REF!</v>
      </c>
      <c r="J9" s="80" t="e">
        <f>+#REF!</f>
        <v>#REF!</v>
      </c>
      <c r="K9" s="80" t="e">
        <f t="shared" si="3"/>
        <v>#REF!</v>
      </c>
      <c r="L9" s="80" t="e">
        <f t="shared" si="3"/>
        <v>#REF!</v>
      </c>
      <c r="M9" s="80" t="e">
        <f t="shared" si="3"/>
        <v>#REF!</v>
      </c>
      <c r="N9" s="80" t="e">
        <f t="shared" si="3"/>
        <v>#REF!</v>
      </c>
      <c r="O9" s="80" t="e">
        <f t="shared" si="3"/>
        <v>#REF!</v>
      </c>
      <c r="P9" s="80" t="e">
        <f t="shared" si="3"/>
        <v>#REF!</v>
      </c>
      <c r="Q9" s="80" t="e">
        <f t="shared" si="3"/>
        <v>#REF!</v>
      </c>
      <c r="R9" s="80" t="e">
        <f t="shared" si="3"/>
        <v>#REF!</v>
      </c>
      <c r="S9" s="80" t="e">
        <f t="shared" si="3"/>
        <v>#REF!</v>
      </c>
      <c r="T9" s="80" t="e">
        <f t="shared" si="3"/>
        <v>#REF!</v>
      </c>
      <c r="U9" s="80" t="e">
        <f t="shared" si="3"/>
        <v>#REF!</v>
      </c>
      <c r="V9" s="80" t="e">
        <f t="shared" si="3"/>
        <v>#REF!</v>
      </c>
      <c r="W9" s="80" t="e">
        <f t="shared" si="3"/>
        <v>#REF!</v>
      </c>
      <c r="X9" s="80" t="e">
        <f t="shared" si="3"/>
        <v>#REF!</v>
      </c>
      <c r="Y9" s="80" t="e">
        <f t="shared" si="3"/>
        <v>#REF!</v>
      </c>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row>
    <row r="10" spans="1:56" s="10" customFormat="1" ht="18" customHeight="1">
      <c r="A10" s="28"/>
      <c r="B10" s="2" t="s">
        <v>67</v>
      </c>
      <c r="C10" s="2"/>
      <c r="D10" s="2"/>
      <c r="E10" s="2"/>
      <c r="F10" s="2"/>
      <c r="G10" s="9"/>
      <c r="H10" s="80"/>
      <c r="I10" s="80"/>
      <c r="J10" s="80" t="e">
        <f>+#REF!</f>
        <v>#REF!</v>
      </c>
      <c r="K10" s="80" t="e">
        <f t="shared" si="3"/>
        <v>#REF!</v>
      </c>
      <c r="L10" s="80" t="e">
        <f t="shared" si="3"/>
        <v>#REF!</v>
      </c>
      <c r="M10" s="80" t="e">
        <f t="shared" si="3"/>
        <v>#REF!</v>
      </c>
      <c r="N10" s="80" t="e">
        <f t="shared" si="3"/>
        <v>#REF!</v>
      </c>
      <c r="O10" s="80" t="e">
        <f t="shared" si="3"/>
        <v>#REF!</v>
      </c>
      <c r="P10" s="80" t="e">
        <f t="shared" si="3"/>
        <v>#REF!</v>
      </c>
      <c r="Q10" s="80" t="e">
        <f t="shared" si="3"/>
        <v>#REF!</v>
      </c>
      <c r="R10" s="80" t="e">
        <f t="shared" si="3"/>
        <v>#REF!</v>
      </c>
      <c r="S10" s="80" t="e">
        <f t="shared" si="3"/>
        <v>#REF!</v>
      </c>
      <c r="T10" s="80" t="e">
        <f t="shared" si="3"/>
        <v>#REF!</v>
      </c>
      <c r="U10" s="80" t="e">
        <f t="shared" si="3"/>
        <v>#REF!</v>
      </c>
      <c r="V10" s="80" t="e">
        <f t="shared" si="3"/>
        <v>#REF!</v>
      </c>
      <c r="W10" s="80" t="e">
        <f t="shared" si="3"/>
        <v>#REF!</v>
      </c>
      <c r="X10" s="80" t="e">
        <f t="shared" si="3"/>
        <v>#REF!</v>
      </c>
      <c r="Y10" s="80" t="e">
        <f t="shared" si="3"/>
        <v>#REF!</v>
      </c>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row>
    <row r="11" spans="1:56" s="10" customFormat="1" ht="18" customHeight="1">
      <c r="A11" s="28"/>
      <c r="B11" s="2" t="s">
        <v>68</v>
      </c>
      <c r="C11" s="2"/>
      <c r="D11" s="2"/>
      <c r="E11" s="2"/>
      <c r="F11" s="2"/>
      <c r="G11" s="9"/>
      <c r="H11" s="80"/>
      <c r="I11" s="80"/>
      <c r="J11" s="80" t="e">
        <f>+#REF!</f>
        <v>#REF!</v>
      </c>
      <c r="K11" s="80" t="e">
        <f t="shared" si="3"/>
        <v>#REF!</v>
      </c>
      <c r="L11" s="80" t="e">
        <f t="shared" si="3"/>
        <v>#REF!</v>
      </c>
      <c r="M11" s="80" t="e">
        <f t="shared" si="3"/>
        <v>#REF!</v>
      </c>
      <c r="N11" s="80" t="e">
        <f t="shared" si="3"/>
        <v>#REF!</v>
      </c>
      <c r="O11" s="80" t="e">
        <f t="shared" si="3"/>
        <v>#REF!</v>
      </c>
      <c r="P11" s="80" t="e">
        <f t="shared" si="3"/>
        <v>#REF!</v>
      </c>
      <c r="Q11" s="80" t="e">
        <f t="shared" si="3"/>
        <v>#REF!</v>
      </c>
      <c r="R11" s="80" t="e">
        <f t="shared" si="3"/>
        <v>#REF!</v>
      </c>
      <c r="S11" s="80" t="e">
        <f t="shared" si="3"/>
        <v>#REF!</v>
      </c>
      <c r="T11" s="80" t="e">
        <f t="shared" si="3"/>
        <v>#REF!</v>
      </c>
      <c r="U11" s="80" t="e">
        <f t="shared" si="3"/>
        <v>#REF!</v>
      </c>
      <c r="V11" s="80" t="e">
        <f t="shared" si="3"/>
        <v>#REF!</v>
      </c>
      <c r="W11" s="80" t="e">
        <f t="shared" si="3"/>
        <v>#REF!</v>
      </c>
      <c r="X11" s="80" t="e">
        <f t="shared" si="3"/>
        <v>#REF!</v>
      </c>
      <c r="Y11" s="80" t="e">
        <f t="shared" si="3"/>
        <v>#REF!</v>
      </c>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row>
    <row r="12" spans="1:56" s="108" customFormat="1" ht="22.5" customHeight="1">
      <c r="A12" s="103" t="s">
        <v>7</v>
      </c>
      <c r="B12" s="104" t="s">
        <v>1</v>
      </c>
      <c r="C12" s="105"/>
      <c r="D12" s="105"/>
      <c r="E12" s="105"/>
      <c r="F12" s="105"/>
      <c r="G12" s="105"/>
      <c r="H12" s="106"/>
      <c r="I12" s="106" t="e">
        <f>SUM(I7:I9)</f>
        <v>#REF!</v>
      </c>
      <c r="J12" s="106" t="e">
        <f t="shared" ref="J12:X12" si="4">SUM(J7:J11)</f>
        <v>#REF!</v>
      </c>
      <c r="K12" s="106" t="e">
        <f t="shared" si="4"/>
        <v>#REF!</v>
      </c>
      <c r="L12" s="106" t="e">
        <f t="shared" si="4"/>
        <v>#REF!</v>
      </c>
      <c r="M12" s="106" t="e">
        <f t="shared" si="4"/>
        <v>#REF!</v>
      </c>
      <c r="N12" s="106" t="e">
        <f t="shared" si="4"/>
        <v>#REF!</v>
      </c>
      <c r="O12" s="106" t="e">
        <f t="shared" si="4"/>
        <v>#REF!</v>
      </c>
      <c r="P12" s="106" t="e">
        <f t="shared" si="4"/>
        <v>#REF!</v>
      </c>
      <c r="Q12" s="106" t="e">
        <f t="shared" si="4"/>
        <v>#REF!</v>
      </c>
      <c r="R12" s="106" t="e">
        <f t="shared" si="4"/>
        <v>#REF!</v>
      </c>
      <c r="S12" s="106" t="e">
        <f t="shared" si="4"/>
        <v>#REF!</v>
      </c>
      <c r="T12" s="106" t="e">
        <f t="shared" si="4"/>
        <v>#REF!</v>
      </c>
      <c r="U12" s="106" t="e">
        <f t="shared" si="4"/>
        <v>#REF!</v>
      </c>
      <c r="V12" s="106" t="e">
        <f t="shared" si="4"/>
        <v>#REF!</v>
      </c>
      <c r="W12" s="106" t="e">
        <f t="shared" si="4"/>
        <v>#REF!</v>
      </c>
      <c r="X12" s="106" t="e">
        <f t="shared" si="4"/>
        <v>#REF!</v>
      </c>
      <c r="Y12" s="106" t="e">
        <f>SUM(Y7:Y9)</f>
        <v>#REF!</v>
      </c>
      <c r="Z12" s="107"/>
      <c r="AA12" s="107"/>
      <c r="AB12" s="107"/>
      <c r="AC12" s="107"/>
      <c r="AD12" s="107"/>
      <c r="AE12" s="107"/>
    </row>
    <row r="13" spans="1:56" ht="22.5" customHeight="1">
      <c r="A13" s="29"/>
      <c r="B13" s="9"/>
      <c r="C13" s="9"/>
      <c r="D13" s="9"/>
      <c r="E13" s="9"/>
      <c r="F13" s="9"/>
      <c r="G13" s="9"/>
      <c r="H13" s="80"/>
      <c r="I13" s="80"/>
      <c r="J13" s="80"/>
      <c r="K13" s="80"/>
      <c r="L13" s="80"/>
      <c r="M13" s="80"/>
      <c r="N13" s="80"/>
      <c r="O13" s="80"/>
      <c r="P13" s="80"/>
      <c r="Q13" s="80"/>
      <c r="R13" s="80"/>
      <c r="S13" s="80"/>
      <c r="T13" s="80"/>
      <c r="U13" s="80"/>
      <c r="V13" s="80"/>
      <c r="W13" s="80"/>
      <c r="X13" s="80"/>
      <c r="Y13" s="80"/>
      <c r="Z13" s="9"/>
      <c r="AA13" s="9"/>
      <c r="AB13" s="9"/>
      <c r="AC13" s="9"/>
      <c r="AD13" s="9"/>
      <c r="AE13" s="9"/>
    </row>
    <row r="14" spans="1:56" ht="22.5" customHeight="1">
      <c r="A14" s="32" t="s">
        <v>7</v>
      </c>
      <c r="B14" s="26" t="s">
        <v>17</v>
      </c>
      <c r="C14" s="20"/>
      <c r="D14" s="20"/>
      <c r="E14" s="20"/>
      <c r="F14" s="20"/>
      <c r="G14" s="20"/>
      <c r="H14" s="81"/>
      <c r="I14" s="81">
        <f t="shared" ref="I14:Y14" si="5">SUM(I13:I13)</f>
        <v>0</v>
      </c>
      <c r="J14" s="81">
        <f t="shared" si="5"/>
        <v>0</v>
      </c>
      <c r="K14" s="81">
        <f t="shared" si="5"/>
        <v>0</v>
      </c>
      <c r="L14" s="81">
        <f t="shared" si="5"/>
        <v>0</v>
      </c>
      <c r="M14" s="81">
        <f t="shared" si="5"/>
        <v>0</v>
      </c>
      <c r="N14" s="81">
        <f t="shared" si="5"/>
        <v>0</v>
      </c>
      <c r="O14" s="81">
        <f t="shared" si="5"/>
        <v>0</v>
      </c>
      <c r="P14" s="81">
        <f t="shared" si="5"/>
        <v>0</v>
      </c>
      <c r="Q14" s="81">
        <f t="shared" si="5"/>
        <v>0</v>
      </c>
      <c r="R14" s="81">
        <f t="shared" si="5"/>
        <v>0</v>
      </c>
      <c r="S14" s="81">
        <f t="shared" si="5"/>
        <v>0</v>
      </c>
      <c r="T14" s="81">
        <f t="shared" si="5"/>
        <v>0</v>
      </c>
      <c r="U14" s="81">
        <f t="shared" si="5"/>
        <v>0</v>
      </c>
      <c r="V14" s="81">
        <f t="shared" si="5"/>
        <v>0</v>
      </c>
      <c r="W14" s="81">
        <f t="shared" si="5"/>
        <v>0</v>
      </c>
      <c r="X14" s="81">
        <f t="shared" si="5"/>
        <v>0</v>
      </c>
      <c r="Y14" s="81">
        <f t="shared" si="5"/>
        <v>0</v>
      </c>
      <c r="Z14" s="9"/>
      <c r="AA14" s="9"/>
      <c r="AB14" s="9"/>
      <c r="AC14" s="9"/>
      <c r="AD14" s="9"/>
      <c r="AE14" s="9"/>
    </row>
    <row r="15" spans="1:56" s="85" customFormat="1" ht="22.5" customHeight="1">
      <c r="A15" s="94"/>
      <c r="B15" s="95" t="s">
        <v>18</v>
      </c>
      <c r="C15" s="95"/>
      <c r="D15" s="95"/>
      <c r="E15" s="95"/>
      <c r="F15" s="95"/>
      <c r="G15" s="95"/>
      <c r="H15" s="96"/>
      <c r="I15" s="96" t="e">
        <f t="shared" ref="I15:Y15" si="6">+I12+I14</f>
        <v>#REF!</v>
      </c>
      <c r="J15" s="96" t="e">
        <f t="shared" si="6"/>
        <v>#REF!</v>
      </c>
      <c r="K15" s="96" t="e">
        <f t="shared" si="6"/>
        <v>#REF!</v>
      </c>
      <c r="L15" s="96" t="e">
        <f t="shared" si="6"/>
        <v>#REF!</v>
      </c>
      <c r="M15" s="96" t="e">
        <f t="shared" si="6"/>
        <v>#REF!</v>
      </c>
      <c r="N15" s="96" t="e">
        <f t="shared" si="6"/>
        <v>#REF!</v>
      </c>
      <c r="O15" s="96" t="e">
        <f t="shared" si="6"/>
        <v>#REF!</v>
      </c>
      <c r="P15" s="96" t="e">
        <f t="shared" si="6"/>
        <v>#REF!</v>
      </c>
      <c r="Q15" s="96" t="e">
        <f t="shared" si="6"/>
        <v>#REF!</v>
      </c>
      <c r="R15" s="96" t="e">
        <f t="shared" si="6"/>
        <v>#REF!</v>
      </c>
      <c r="S15" s="96" t="e">
        <f t="shared" si="6"/>
        <v>#REF!</v>
      </c>
      <c r="T15" s="96" t="e">
        <f t="shared" si="6"/>
        <v>#REF!</v>
      </c>
      <c r="U15" s="96" t="e">
        <f t="shared" si="6"/>
        <v>#REF!</v>
      </c>
      <c r="V15" s="96" t="e">
        <f t="shared" si="6"/>
        <v>#REF!</v>
      </c>
      <c r="W15" s="96" t="e">
        <f t="shared" si="6"/>
        <v>#REF!</v>
      </c>
      <c r="X15" s="96" t="e">
        <f t="shared" si="6"/>
        <v>#REF!</v>
      </c>
      <c r="Y15" s="96" t="e">
        <f t="shared" si="6"/>
        <v>#REF!</v>
      </c>
      <c r="Z15" s="97"/>
      <c r="AA15" s="97"/>
      <c r="AB15" s="97"/>
      <c r="AC15" s="97"/>
      <c r="AD15" s="97"/>
      <c r="AE15" s="97"/>
    </row>
    <row r="16" spans="1:56" ht="24.6" customHeight="1">
      <c r="A16" s="29"/>
      <c r="B16" s="13"/>
      <c r="C16" s="13"/>
      <c r="D16" s="9"/>
      <c r="E16" s="9"/>
      <c r="F16" s="9"/>
      <c r="G16" s="9"/>
      <c r="H16" s="80"/>
      <c r="I16" s="80"/>
      <c r="J16" s="80"/>
      <c r="K16" s="80"/>
      <c r="L16" s="80"/>
      <c r="M16" s="80"/>
      <c r="N16" s="80"/>
      <c r="O16" s="80"/>
      <c r="P16" s="80"/>
      <c r="Q16" s="80"/>
      <c r="R16" s="80"/>
      <c r="S16" s="80"/>
      <c r="T16" s="80"/>
      <c r="U16" s="80"/>
      <c r="V16" s="80"/>
      <c r="W16" s="80"/>
      <c r="X16" s="80"/>
      <c r="Y16" s="80"/>
      <c r="Z16" s="9"/>
      <c r="AA16" s="9"/>
      <c r="AB16" s="9"/>
      <c r="AC16" s="9"/>
      <c r="AD16" s="9"/>
      <c r="AE16" s="9"/>
    </row>
    <row r="17" spans="1:31" ht="24.6" customHeight="1">
      <c r="A17" s="29"/>
      <c r="B17" s="13" t="s">
        <v>50</v>
      </c>
      <c r="C17" s="13"/>
      <c r="D17" s="9"/>
      <c r="E17" s="9"/>
      <c r="F17" s="9"/>
      <c r="G17" s="9"/>
      <c r="H17" s="80"/>
      <c r="I17" s="80" t="e">
        <f>+#REF!</f>
        <v>#REF!</v>
      </c>
      <c r="J17" s="80" t="e">
        <f>+#REF!+#REF!+#REF!+#REF!</f>
        <v>#REF!</v>
      </c>
      <c r="K17" s="80" t="e">
        <f>+J17</f>
        <v>#REF!</v>
      </c>
      <c r="L17" s="80" t="e">
        <f t="shared" ref="L17:X17" si="7">+K17</f>
        <v>#REF!</v>
      </c>
      <c r="M17" s="80" t="e">
        <f t="shared" si="7"/>
        <v>#REF!</v>
      </c>
      <c r="N17" s="80" t="e">
        <f t="shared" si="7"/>
        <v>#REF!</v>
      </c>
      <c r="O17" s="80" t="e">
        <f t="shared" si="7"/>
        <v>#REF!</v>
      </c>
      <c r="P17" s="80" t="e">
        <f t="shared" si="7"/>
        <v>#REF!</v>
      </c>
      <c r="Q17" s="80" t="e">
        <f t="shared" si="7"/>
        <v>#REF!</v>
      </c>
      <c r="R17" s="80" t="e">
        <f t="shared" si="7"/>
        <v>#REF!</v>
      </c>
      <c r="S17" s="80" t="e">
        <f t="shared" si="7"/>
        <v>#REF!</v>
      </c>
      <c r="T17" s="80" t="e">
        <f t="shared" si="7"/>
        <v>#REF!</v>
      </c>
      <c r="U17" s="80" t="e">
        <f t="shared" si="7"/>
        <v>#REF!</v>
      </c>
      <c r="V17" s="80" t="e">
        <f t="shared" si="7"/>
        <v>#REF!</v>
      </c>
      <c r="W17" s="80" t="e">
        <f t="shared" si="7"/>
        <v>#REF!</v>
      </c>
      <c r="X17" s="80" t="e">
        <f t="shared" si="7"/>
        <v>#REF!</v>
      </c>
      <c r="Y17" s="80"/>
      <c r="Z17" s="9"/>
      <c r="AA17" s="9"/>
      <c r="AB17" s="9"/>
      <c r="AC17" s="9"/>
      <c r="AD17" s="9"/>
      <c r="AE17" s="9"/>
    </row>
    <row r="18" spans="1:31" ht="24.6" customHeight="1">
      <c r="A18" s="29"/>
      <c r="B18" s="13" t="s">
        <v>69</v>
      </c>
      <c r="C18" s="13"/>
      <c r="D18" s="9"/>
      <c r="E18" s="9"/>
      <c r="F18" s="9"/>
      <c r="G18" s="9"/>
      <c r="H18" s="80"/>
      <c r="I18" s="80"/>
      <c r="J18" s="80" t="e">
        <f>+#REF!</f>
        <v>#REF!</v>
      </c>
      <c r="K18" s="80" t="e">
        <f t="shared" ref="K18:X21" si="8">+J18</f>
        <v>#REF!</v>
      </c>
      <c r="L18" s="80" t="e">
        <f t="shared" si="8"/>
        <v>#REF!</v>
      </c>
      <c r="M18" s="80" t="e">
        <f t="shared" si="8"/>
        <v>#REF!</v>
      </c>
      <c r="N18" s="80" t="e">
        <f t="shared" si="8"/>
        <v>#REF!</v>
      </c>
      <c r="O18" s="80" t="e">
        <f t="shared" si="8"/>
        <v>#REF!</v>
      </c>
      <c r="P18" s="80" t="e">
        <f t="shared" si="8"/>
        <v>#REF!</v>
      </c>
      <c r="Q18" s="80" t="e">
        <f t="shared" si="8"/>
        <v>#REF!</v>
      </c>
      <c r="R18" s="80" t="e">
        <f t="shared" si="8"/>
        <v>#REF!</v>
      </c>
      <c r="S18" s="80" t="e">
        <f t="shared" si="8"/>
        <v>#REF!</v>
      </c>
      <c r="T18" s="80" t="e">
        <f t="shared" si="8"/>
        <v>#REF!</v>
      </c>
      <c r="U18" s="80" t="e">
        <f t="shared" si="8"/>
        <v>#REF!</v>
      </c>
      <c r="V18" s="80" t="e">
        <f t="shared" si="8"/>
        <v>#REF!</v>
      </c>
      <c r="W18" s="80" t="e">
        <f t="shared" si="8"/>
        <v>#REF!</v>
      </c>
      <c r="X18" s="80" t="e">
        <f t="shared" si="8"/>
        <v>#REF!</v>
      </c>
      <c r="Y18" s="80"/>
      <c r="Z18" s="9"/>
      <c r="AA18" s="9"/>
      <c r="AB18" s="9"/>
      <c r="AC18" s="9"/>
      <c r="AD18" s="9"/>
      <c r="AE18" s="9"/>
    </row>
    <row r="19" spans="1:31" ht="24.6" customHeight="1">
      <c r="A19" s="29"/>
      <c r="B19" s="13" t="s">
        <v>12</v>
      </c>
      <c r="C19" s="13"/>
      <c r="D19" s="9"/>
      <c r="E19" s="9"/>
      <c r="F19" s="9"/>
      <c r="G19" s="9"/>
      <c r="H19" s="80"/>
      <c r="I19" s="80" t="e">
        <f>+#REF!</f>
        <v>#REF!</v>
      </c>
      <c r="J19" s="80" t="e">
        <f>+#REF!</f>
        <v>#REF!</v>
      </c>
      <c r="K19" s="80" t="e">
        <f t="shared" si="8"/>
        <v>#REF!</v>
      </c>
      <c r="L19" s="80" t="e">
        <f t="shared" si="8"/>
        <v>#REF!</v>
      </c>
      <c r="M19" s="80" t="e">
        <f t="shared" si="8"/>
        <v>#REF!</v>
      </c>
      <c r="N19" s="80" t="e">
        <f t="shared" si="8"/>
        <v>#REF!</v>
      </c>
      <c r="O19" s="80" t="e">
        <f t="shared" si="8"/>
        <v>#REF!</v>
      </c>
      <c r="P19" s="80" t="e">
        <f t="shared" si="8"/>
        <v>#REF!</v>
      </c>
      <c r="Q19" s="80" t="e">
        <f t="shared" si="8"/>
        <v>#REF!</v>
      </c>
      <c r="R19" s="80" t="e">
        <f t="shared" si="8"/>
        <v>#REF!</v>
      </c>
      <c r="S19" s="80" t="e">
        <f t="shared" si="8"/>
        <v>#REF!</v>
      </c>
      <c r="T19" s="80" t="e">
        <f t="shared" si="8"/>
        <v>#REF!</v>
      </c>
      <c r="U19" s="80" t="e">
        <f t="shared" si="8"/>
        <v>#REF!</v>
      </c>
      <c r="V19" s="80" t="e">
        <f t="shared" si="8"/>
        <v>#REF!</v>
      </c>
      <c r="W19" s="80" t="e">
        <f t="shared" si="8"/>
        <v>#REF!</v>
      </c>
      <c r="X19" s="80" t="e">
        <f t="shared" si="8"/>
        <v>#REF!</v>
      </c>
      <c r="Y19" s="80"/>
      <c r="Z19" s="9"/>
      <c r="AA19" s="9"/>
      <c r="AB19" s="9"/>
      <c r="AC19" s="9"/>
      <c r="AD19" s="9"/>
      <c r="AE19" s="9"/>
    </row>
    <row r="20" spans="1:31" ht="24.6" customHeight="1">
      <c r="A20" s="29"/>
      <c r="B20" s="13" t="s">
        <v>13</v>
      </c>
      <c r="C20" s="13"/>
      <c r="D20" s="9"/>
      <c r="E20" s="9"/>
      <c r="F20" s="9"/>
      <c r="G20" s="9"/>
      <c r="H20" s="80"/>
      <c r="I20" s="80" t="e">
        <f>+#REF!+#REF!</f>
        <v>#REF!</v>
      </c>
      <c r="J20" s="80" t="e">
        <f>+#REF!+#REF!</f>
        <v>#REF!</v>
      </c>
      <c r="K20" s="80" t="e">
        <f t="shared" si="8"/>
        <v>#REF!</v>
      </c>
      <c r="L20" s="80" t="e">
        <f t="shared" si="8"/>
        <v>#REF!</v>
      </c>
      <c r="M20" s="80" t="e">
        <f t="shared" si="8"/>
        <v>#REF!</v>
      </c>
      <c r="N20" s="80" t="e">
        <f t="shared" si="8"/>
        <v>#REF!</v>
      </c>
      <c r="O20" s="80" t="e">
        <f t="shared" si="8"/>
        <v>#REF!</v>
      </c>
      <c r="P20" s="80" t="e">
        <f t="shared" si="8"/>
        <v>#REF!</v>
      </c>
      <c r="Q20" s="80" t="e">
        <f t="shared" si="8"/>
        <v>#REF!</v>
      </c>
      <c r="R20" s="80" t="e">
        <f t="shared" si="8"/>
        <v>#REF!</v>
      </c>
      <c r="S20" s="80" t="e">
        <f t="shared" si="8"/>
        <v>#REF!</v>
      </c>
      <c r="T20" s="80" t="e">
        <f t="shared" si="8"/>
        <v>#REF!</v>
      </c>
      <c r="U20" s="80" t="e">
        <f t="shared" si="8"/>
        <v>#REF!</v>
      </c>
      <c r="V20" s="80" t="e">
        <f t="shared" si="8"/>
        <v>#REF!</v>
      </c>
      <c r="W20" s="80" t="e">
        <f t="shared" si="8"/>
        <v>#REF!</v>
      </c>
      <c r="X20" s="80" t="e">
        <f t="shared" si="8"/>
        <v>#REF!</v>
      </c>
      <c r="Y20" s="80"/>
      <c r="Z20" s="9"/>
      <c r="AA20" s="9"/>
      <c r="AB20" s="9"/>
      <c r="AC20" s="9"/>
      <c r="AD20" s="9"/>
      <c r="AE20" s="9"/>
    </row>
    <row r="21" spans="1:31" ht="24.6" customHeight="1">
      <c r="A21" s="29"/>
      <c r="B21" s="13" t="s">
        <v>14</v>
      </c>
      <c r="C21" s="13"/>
      <c r="D21" s="9"/>
      <c r="E21" s="9"/>
      <c r="F21" s="9"/>
      <c r="G21" s="9"/>
      <c r="H21" s="80"/>
      <c r="I21" s="80" t="e">
        <f>+#REF!</f>
        <v>#REF!</v>
      </c>
      <c r="J21" s="80">
        <v>5000</v>
      </c>
      <c r="K21" s="80">
        <f t="shared" si="8"/>
        <v>5000</v>
      </c>
      <c r="L21" s="80">
        <f t="shared" si="8"/>
        <v>5000</v>
      </c>
      <c r="M21" s="80">
        <f t="shared" si="8"/>
        <v>5000</v>
      </c>
      <c r="N21" s="80">
        <f t="shared" si="8"/>
        <v>5000</v>
      </c>
      <c r="O21" s="80">
        <f t="shared" si="8"/>
        <v>5000</v>
      </c>
      <c r="P21" s="80">
        <f t="shared" si="8"/>
        <v>5000</v>
      </c>
      <c r="Q21" s="80">
        <f t="shared" si="8"/>
        <v>5000</v>
      </c>
      <c r="R21" s="80">
        <f t="shared" si="8"/>
        <v>5000</v>
      </c>
      <c r="S21" s="80">
        <f t="shared" si="8"/>
        <v>5000</v>
      </c>
      <c r="T21" s="80">
        <f t="shared" si="8"/>
        <v>5000</v>
      </c>
      <c r="U21" s="80">
        <f t="shared" si="8"/>
        <v>5000</v>
      </c>
      <c r="V21" s="80">
        <f t="shared" si="8"/>
        <v>5000</v>
      </c>
      <c r="W21" s="80">
        <f t="shared" si="8"/>
        <v>5000</v>
      </c>
      <c r="X21" s="80">
        <f t="shared" si="8"/>
        <v>5000</v>
      </c>
      <c r="Y21" s="80"/>
      <c r="Z21" s="9"/>
      <c r="AA21" s="9"/>
      <c r="AB21" s="9"/>
      <c r="AC21" s="9"/>
      <c r="AD21" s="9"/>
      <c r="AE21" s="9"/>
    </row>
    <row r="22" spans="1:31" ht="22.5" customHeight="1">
      <c r="A22" s="29"/>
      <c r="B22" s="13"/>
      <c r="C22" s="13"/>
      <c r="D22" s="9"/>
      <c r="E22" s="9"/>
      <c r="F22" s="9"/>
      <c r="G22" s="9"/>
      <c r="H22" s="80"/>
      <c r="I22" s="80"/>
      <c r="J22" s="80"/>
      <c r="K22" s="80"/>
      <c r="L22" s="80"/>
      <c r="M22" s="80"/>
      <c r="N22" s="80"/>
      <c r="O22" s="80"/>
      <c r="P22" s="80"/>
      <c r="Q22" s="80"/>
      <c r="R22" s="80"/>
      <c r="S22" s="80"/>
      <c r="T22" s="80"/>
      <c r="U22" s="80"/>
      <c r="V22" s="80"/>
      <c r="W22" s="80"/>
      <c r="X22" s="80"/>
      <c r="Y22" s="80"/>
      <c r="Z22" s="9"/>
      <c r="AA22" s="9"/>
      <c r="AB22" s="9"/>
      <c r="AC22" s="9"/>
      <c r="AD22" s="9"/>
      <c r="AE22" s="9"/>
    </row>
    <row r="23" spans="1:31" ht="22.5" customHeight="1">
      <c r="A23" s="32" t="s">
        <v>7</v>
      </c>
      <c r="B23" s="34" t="s">
        <v>8</v>
      </c>
      <c r="C23" s="35"/>
      <c r="D23" s="33"/>
      <c r="E23" s="33"/>
      <c r="F23" s="33"/>
      <c r="G23" s="33"/>
      <c r="H23" s="81"/>
      <c r="I23" s="81" t="e">
        <f>SUM(I16:I22)</f>
        <v>#REF!</v>
      </c>
      <c r="J23" s="81" t="e">
        <f t="shared" ref="J23:X23" si="9">SUM(J17:J21)</f>
        <v>#REF!</v>
      </c>
      <c r="K23" s="81" t="e">
        <f t="shared" si="9"/>
        <v>#REF!</v>
      </c>
      <c r="L23" s="81" t="e">
        <f t="shared" si="9"/>
        <v>#REF!</v>
      </c>
      <c r="M23" s="81" t="e">
        <f t="shared" si="9"/>
        <v>#REF!</v>
      </c>
      <c r="N23" s="81" t="e">
        <f t="shared" si="9"/>
        <v>#REF!</v>
      </c>
      <c r="O23" s="81" t="e">
        <f t="shared" si="9"/>
        <v>#REF!</v>
      </c>
      <c r="P23" s="81" t="e">
        <f t="shared" si="9"/>
        <v>#REF!</v>
      </c>
      <c r="Q23" s="81" t="e">
        <f t="shared" si="9"/>
        <v>#REF!</v>
      </c>
      <c r="R23" s="81" t="e">
        <f t="shared" si="9"/>
        <v>#REF!</v>
      </c>
      <c r="S23" s="81" t="e">
        <f t="shared" si="9"/>
        <v>#REF!</v>
      </c>
      <c r="T23" s="81" t="e">
        <f t="shared" si="9"/>
        <v>#REF!</v>
      </c>
      <c r="U23" s="81" t="e">
        <f t="shared" si="9"/>
        <v>#REF!</v>
      </c>
      <c r="V23" s="81" t="e">
        <f t="shared" si="9"/>
        <v>#REF!</v>
      </c>
      <c r="W23" s="81" t="e">
        <f t="shared" si="9"/>
        <v>#REF!</v>
      </c>
      <c r="X23" s="81" t="e">
        <f t="shared" si="9"/>
        <v>#REF!</v>
      </c>
      <c r="Y23" s="81">
        <f>SUM(Y16:Y22)</f>
        <v>0</v>
      </c>
      <c r="Z23" s="9"/>
      <c r="AA23" s="9"/>
      <c r="AB23" s="9"/>
      <c r="AC23" s="9"/>
      <c r="AD23" s="9"/>
      <c r="AE23" s="9"/>
    </row>
    <row r="24" spans="1:31" s="85" customFormat="1" ht="22.5" customHeight="1">
      <c r="A24" s="94"/>
      <c r="B24" s="95" t="s">
        <v>9</v>
      </c>
      <c r="C24" s="95"/>
      <c r="D24" s="95"/>
      <c r="E24" s="95"/>
      <c r="F24" s="95"/>
      <c r="G24" s="95"/>
      <c r="H24" s="96"/>
      <c r="I24" s="96" t="e">
        <f t="shared" ref="I24:Y24" si="10">+I15-I23</f>
        <v>#REF!</v>
      </c>
      <c r="J24" s="96" t="e">
        <f t="shared" si="10"/>
        <v>#REF!</v>
      </c>
      <c r="K24" s="96" t="e">
        <f t="shared" si="10"/>
        <v>#REF!</v>
      </c>
      <c r="L24" s="96" t="e">
        <f t="shared" si="10"/>
        <v>#REF!</v>
      </c>
      <c r="M24" s="96" t="e">
        <f t="shared" si="10"/>
        <v>#REF!</v>
      </c>
      <c r="N24" s="96" t="e">
        <f t="shared" si="10"/>
        <v>#REF!</v>
      </c>
      <c r="O24" s="96" t="e">
        <f t="shared" si="10"/>
        <v>#REF!</v>
      </c>
      <c r="P24" s="96" t="e">
        <f t="shared" si="10"/>
        <v>#REF!</v>
      </c>
      <c r="Q24" s="96" t="e">
        <f t="shared" si="10"/>
        <v>#REF!</v>
      </c>
      <c r="R24" s="96" t="e">
        <f t="shared" si="10"/>
        <v>#REF!</v>
      </c>
      <c r="S24" s="96" t="e">
        <f t="shared" si="10"/>
        <v>#REF!</v>
      </c>
      <c r="T24" s="96" t="e">
        <f t="shared" si="10"/>
        <v>#REF!</v>
      </c>
      <c r="U24" s="96" t="e">
        <f t="shared" si="10"/>
        <v>#REF!</v>
      </c>
      <c r="V24" s="96" t="e">
        <f t="shared" si="10"/>
        <v>#REF!</v>
      </c>
      <c r="W24" s="96" t="e">
        <f t="shared" si="10"/>
        <v>#REF!</v>
      </c>
      <c r="X24" s="96" t="e">
        <f t="shared" si="10"/>
        <v>#REF!</v>
      </c>
      <c r="Y24" s="96" t="e">
        <f t="shared" si="10"/>
        <v>#REF!</v>
      </c>
      <c r="Z24" s="97"/>
      <c r="AA24" s="97"/>
      <c r="AB24" s="97"/>
      <c r="AC24" s="97"/>
      <c r="AD24" s="97"/>
      <c r="AE24" s="97"/>
    </row>
    <row r="25" spans="1:31" s="124" customFormat="1" ht="22.5" customHeight="1">
      <c r="A25" s="120"/>
      <c r="B25" s="121" t="s">
        <v>3</v>
      </c>
      <c r="C25" s="121"/>
      <c r="D25" s="122"/>
      <c r="E25" s="122"/>
      <c r="F25" s="122"/>
      <c r="G25" s="122"/>
      <c r="H25" s="123"/>
      <c r="I25" s="123" t="e">
        <f>+#REF!+#REF!+#REF!</f>
        <v>#REF!</v>
      </c>
      <c r="J25" s="123" t="e">
        <f>+#REF!</f>
        <v>#REF!</v>
      </c>
      <c r="K25" s="123" t="e">
        <f>+J25</f>
        <v>#REF!</v>
      </c>
      <c r="L25" s="123" t="e">
        <f t="shared" ref="L25:X25" si="11">+K25</f>
        <v>#REF!</v>
      </c>
      <c r="M25" s="123" t="e">
        <f t="shared" si="11"/>
        <v>#REF!</v>
      </c>
      <c r="N25" s="123" t="e">
        <f t="shared" si="11"/>
        <v>#REF!</v>
      </c>
      <c r="O25" s="123" t="e">
        <f t="shared" si="11"/>
        <v>#REF!</v>
      </c>
      <c r="P25" s="123" t="e">
        <f t="shared" si="11"/>
        <v>#REF!</v>
      </c>
      <c r="Q25" s="123" t="e">
        <f t="shared" si="11"/>
        <v>#REF!</v>
      </c>
      <c r="R25" s="123" t="e">
        <f t="shared" si="11"/>
        <v>#REF!</v>
      </c>
      <c r="S25" s="123" t="e">
        <f t="shared" si="11"/>
        <v>#REF!</v>
      </c>
      <c r="T25" s="123" t="e">
        <f t="shared" si="11"/>
        <v>#REF!</v>
      </c>
      <c r="U25" s="123" t="e">
        <f t="shared" si="11"/>
        <v>#REF!</v>
      </c>
      <c r="V25" s="123" t="e">
        <f t="shared" si="11"/>
        <v>#REF!</v>
      </c>
      <c r="W25" s="123" t="e">
        <f t="shared" si="11"/>
        <v>#REF!</v>
      </c>
      <c r="X25" s="123" t="e">
        <f t="shared" si="11"/>
        <v>#REF!</v>
      </c>
      <c r="Y25" s="123" t="e">
        <f>+#REF!</f>
        <v>#REF!</v>
      </c>
      <c r="Z25" s="122"/>
      <c r="AA25" s="122"/>
      <c r="AB25" s="122"/>
      <c r="AC25" s="122"/>
      <c r="AD25" s="122"/>
      <c r="AE25" s="122"/>
    </row>
    <row r="26" spans="1:31" s="129" customFormat="1" ht="22.5" customHeight="1">
      <c r="A26" s="125"/>
      <c r="B26" s="126" t="s">
        <v>71</v>
      </c>
      <c r="C26" s="126"/>
      <c r="D26" s="126"/>
      <c r="E26" s="126"/>
      <c r="F26" s="126"/>
      <c r="G26" s="126"/>
      <c r="H26" s="127"/>
      <c r="I26" s="127">
        <f>+AfA!N16</f>
        <v>0</v>
      </c>
      <c r="J26" s="127" t="e">
        <f>+AfA!O16</f>
        <v>#REF!</v>
      </c>
      <c r="K26" s="127" t="e">
        <f>+AfA!P16</f>
        <v>#REF!</v>
      </c>
      <c r="L26" s="127" t="e">
        <f>+AfA!Q16</f>
        <v>#REF!</v>
      </c>
      <c r="M26" s="127" t="e">
        <f>+AfA!R16</f>
        <v>#REF!</v>
      </c>
      <c r="N26" s="127" t="e">
        <f>+AfA!S16</f>
        <v>#REF!</v>
      </c>
      <c r="O26" s="127" t="e">
        <f>+AfA!T16</f>
        <v>#REF!</v>
      </c>
      <c r="P26" s="127" t="e">
        <f>+AfA!U16</f>
        <v>#REF!</v>
      </c>
      <c r="Q26" s="127" t="e">
        <f>+AfA!V16</f>
        <v>#REF!</v>
      </c>
      <c r="R26" s="127" t="e">
        <f>+AfA!W16</f>
        <v>#REF!</v>
      </c>
      <c r="S26" s="127" t="e">
        <f>+AfA!X16</f>
        <v>#REF!</v>
      </c>
      <c r="T26" s="127" t="e">
        <f>+AfA!Y16</f>
        <v>#REF!</v>
      </c>
      <c r="U26" s="127" t="e">
        <f>+AfA!Z16</f>
        <v>#REF!</v>
      </c>
      <c r="V26" s="127" t="e">
        <f>+AfA!AA16</f>
        <v>#REF!</v>
      </c>
      <c r="W26" s="127" t="e">
        <f>+AfA!AB16</f>
        <v>#REF!</v>
      </c>
      <c r="X26" s="127" t="e">
        <f>+AfA!AC16</f>
        <v>#REF!</v>
      </c>
      <c r="Y26" s="127" t="e">
        <f>+AfA!#REF!</f>
        <v>#REF!</v>
      </c>
      <c r="Z26" s="126"/>
      <c r="AA26" s="126"/>
      <c r="AB26" s="126"/>
      <c r="AC26" s="128"/>
      <c r="AD26" s="126"/>
      <c r="AE26" s="126"/>
    </row>
    <row r="27" spans="1:31" ht="22.5" customHeight="1">
      <c r="A27" s="29"/>
      <c r="B27" s="9" t="s">
        <v>70</v>
      </c>
      <c r="C27" s="9"/>
      <c r="D27" s="9"/>
      <c r="E27" s="9"/>
      <c r="F27" s="9"/>
      <c r="G27" s="9"/>
      <c r="H27" s="80"/>
      <c r="I27" s="80"/>
      <c r="J27" s="80" t="e">
        <f>+#REF!</f>
        <v>#REF!</v>
      </c>
      <c r="K27" s="80" t="e">
        <f>+J27</f>
        <v>#REF!</v>
      </c>
      <c r="L27" s="80" t="e">
        <f t="shared" ref="L27:X27" si="12">+K27</f>
        <v>#REF!</v>
      </c>
      <c r="M27" s="80" t="e">
        <f t="shared" si="12"/>
        <v>#REF!</v>
      </c>
      <c r="N27" s="80" t="e">
        <f t="shared" si="12"/>
        <v>#REF!</v>
      </c>
      <c r="O27" s="80" t="e">
        <f t="shared" si="12"/>
        <v>#REF!</v>
      </c>
      <c r="P27" s="80" t="e">
        <f t="shared" si="12"/>
        <v>#REF!</v>
      </c>
      <c r="Q27" s="80" t="e">
        <f t="shared" si="12"/>
        <v>#REF!</v>
      </c>
      <c r="R27" s="80" t="e">
        <f t="shared" si="12"/>
        <v>#REF!</v>
      </c>
      <c r="S27" s="80" t="e">
        <f t="shared" si="12"/>
        <v>#REF!</v>
      </c>
      <c r="T27" s="80" t="e">
        <f t="shared" si="12"/>
        <v>#REF!</v>
      </c>
      <c r="U27" s="80" t="e">
        <f t="shared" si="12"/>
        <v>#REF!</v>
      </c>
      <c r="V27" s="80" t="e">
        <f t="shared" si="12"/>
        <v>#REF!</v>
      </c>
      <c r="W27" s="80" t="e">
        <f t="shared" si="12"/>
        <v>#REF!</v>
      </c>
      <c r="X27" s="80" t="e">
        <f t="shared" si="12"/>
        <v>#REF!</v>
      </c>
      <c r="Y27" s="83"/>
      <c r="Z27" s="9"/>
      <c r="AA27" s="9"/>
      <c r="AB27" s="9"/>
      <c r="AC27" s="11"/>
      <c r="AD27" s="9"/>
      <c r="AE27" s="9"/>
    </row>
    <row r="28" spans="1:31" ht="22.5" customHeight="1">
      <c r="A28" s="29"/>
      <c r="B28" s="13" t="s">
        <v>4</v>
      </c>
      <c r="C28" s="13"/>
      <c r="D28" s="9"/>
      <c r="E28" s="9"/>
      <c r="F28" s="9"/>
      <c r="G28" s="9"/>
      <c r="H28" s="80"/>
      <c r="I28" s="80" t="e">
        <f>+#REF!+#REF!</f>
        <v>#REF!</v>
      </c>
      <c r="J28" s="80" t="e">
        <f>+#REF!</f>
        <v>#REF!</v>
      </c>
      <c r="K28" s="80" t="e">
        <f>+J28</f>
        <v>#REF!</v>
      </c>
      <c r="L28" s="80" t="e">
        <f t="shared" ref="L28:X28" si="13">+K28</f>
        <v>#REF!</v>
      </c>
      <c r="M28" s="80" t="e">
        <f t="shared" si="13"/>
        <v>#REF!</v>
      </c>
      <c r="N28" s="80" t="e">
        <f t="shared" si="13"/>
        <v>#REF!</v>
      </c>
      <c r="O28" s="80" t="e">
        <f t="shared" si="13"/>
        <v>#REF!</v>
      </c>
      <c r="P28" s="80" t="e">
        <f t="shared" si="13"/>
        <v>#REF!</v>
      </c>
      <c r="Q28" s="80" t="e">
        <f t="shared" si="13"/>
        <v>#REF!</v>
      </c>
      <c r="R28" s="80" t="e">
        <f t="shared" si="13"/>
        <v>#REF!</v>
      </c>
      <c r="S28" s="80" t="e">
        <f t="shared" si="13"/>
        <v>#REF!</v>
      </c>
      <c r="T28" s="80" t="e">
        <f t="shared" si="13"/>
        <v>#REF!</v>
      </c>
      <c r="U28" s="80" t="e">
        <f t="shared" si="13"/>
        <v>#REF!</v>
      </c>
      <c r="V28" s="80" t="e">
        <f t="shared" si="13"/>
        <v>#REF!</v>
      </c>
      <c r="W28" s="80" t="e">
        <f t="shared" si="13"/>
        <v>#REF!</v>
      </c>
      <c r="X28" s="80" t="e">
        <f t="shared" si="13"/>
        <v>#REF!</v>
      </c>
      <c r="Y28" s="80" t="e">
        <f>+#REF!</f>
        <v>#REF!</v>
      </c>
      <c r="Z28" s="9"/>
      <c r="AA28" s="9"/>
      <c r="AB28" s="9"/>
      <c r="AC28" s="9"/>
      <c r="AD28" s="9"/>
      <c r="AE28" s="9"/>
    </row>
    <row r="29" spans="1:31" ht="22.5" customHeight="1">
      <c r="A29" s="29"/>
      <c r="B29" s="2" t="s">
        <v>6</v>
      </c>
      <c r="C29" s="13"/>
      <c r="D29" s="9"/>
      <c r="E29" s="9"/>
      <c r="F29" s="9"/>
      <c r="G29" s="9"/>
      <c r="H29" s="80"/>
      <c r="I29" s="80" t="e">
        <f>+#REF!+#REF!+#REF!</f>
        <v>#REF!</v>
      </c>
      <c r="J29" s="80" t="e">
        <f>+#REF!</f>
        <v>#REF!</v>
      </c>
      <c r="K29" s="80" t="e">
        <f>+J29</f>
        <v>#REF!</v>
      </c>
      <c r="L29" s="80" t="e">
        <f t="shared" ref="L29:X29" si="14">+K29</f>
        <v>#REF!</v>
      </c>
      <c r="M29" s="80" t="e">
        <f t="shared" si="14"/>
        <v>#REF!</v>
      </c>
      <c r="N29" s="80" t="e">
        <f t="shared" si="14"/>
        <v>#REF!</v>
      </c>
      <c r="O29" s="80" t="e">
        <f t="shared" si="14"/>
        <v>#REF!</v>
      </c>
      <c r="P29" s="80" t="e">
        <f t="shared" si="14"/>
        <v>#REF!</v>
      </c>
      <c r="Q29" s="80" t="e">
        <f t="shared" si="14"/>
        <v>#REF!</v>
      </c>
      <c r="R29" s="80" t="e">
        <f t="shared" si="14"/>
        <v>#REF!</v>
      </c>
      <c r="S29" s="80" t="e">
        <f t="shared" si="14"/>
        <v>#REF!</v>
      </c>
      <c r="T29" s="80" t="e">
        <f t="shared" si="14"/>
        <v>#REF!</v>
      </c>
      <c r="U29" s="80" t="e">
        <f t="shared" si="14"/>
        <v>#REF!</v>
      </c>
      <c r="V29" s="80" t="e">
        <f t="shared" si="14"/>
        <v>#REF!</v>
      </c>
      <c r="W29" s="80" t="e">
        <f t="shared" si="14"/>
        <v>#REF!</v>
      </c>
      <c r="X29" s="80" t="e">
        <f t="shared" si="14"/>
        <v>#REF!</v>
      </c>
      <c r="Y29" s="80" t="e">
        <f>+#REF!</f>
        <v>#REF!</v>
      </c>
      <c r="Z29" s="9"/>
      <c r="AA29" s="9"/>
      <c r="AB29" s="9"/>
      <c r="AC29" s="9"/>
      <c r="AD29" s="9"/>
      <c r="AE29" s="9"/>
    </row>
    <row r="30" spans="1:31" s="108" customFormat="1" ht="22.5" customHeight="1">
      <c r="A30" s="103" t="s">
        <v>7</v>
      </c>
      <c r="B30" s="104" t="s">
        <v>19</v>
      </c>
      <c r="C30" s="105"/>
      <c r="D30" s="105"/>
      <c r="E30" s="105"/>
      <c r="F30" s="105"/>
      <c r="G30" s="105"/>
      <c r="H30" s="106"/>
      <c r="I30" s="106" t="e">
        <f>SUM(I28:I29)</f>
        <v>#REF!</v>
      </c>
      <c r="J30" s="106" t="e">
        <f>SUM(J27:J29)</f>
        <v>#REF!</v>
      </c>
      <c r="K30" s="106" t="e">
        <f t="shared" ref="K30:X30" si="15">SUM(K27:K29)</f>
        <v>#REF!</v>
      </c>
      <c r="L30" s="106" t="e">
        <f t="shared" si="15"/>
        <v>#REF!</v>
      </c>
      <c r="M30" s="106" t="e">
        <f t="shared" si="15"/>
        <v>#REF!</v>
      </c>
      <c r="N30" s="106" t="e">
        <f t="shared" si="15"/>
        <v>#REF!</v>
      </c>
      <c r="O30" s="106" t="e">
        <f t="shared" si="15"/>
        <v>#REF!</v>
      </c>
      <c r="P30" s="106" t="e">
        <f t="shared" si="15"/>
        <v>#REF!</v>
      </c>
      <c r="Q30" s="106" t="e">
        <f t="shared" si="15"/>
        <v>#REF!</v>
      </c>
      <c r="R30" s="106" t="e">
        <f t="shared" si="15"/>
        <v>#REF!</v>
      </c>
      <c r="S30" s="106" t="e">
        <f t="shared" si="15"/>
        <v>#REF!</v>
      </c>
      <c r="T30" s="106" t="e">
        <f t="shared" si="15"/>
        <v>#REF!</v>
      </c>
      <c r="U30" s="106" t="e">
        <f t="shared" si="15"/>
        <v>#REF!</v>
      </c>
      <c r="V30" s="106" t="e">
        <f t="shared" si="15"/>
        <v>#REF!</v>
      </c>
      <c r="W30" s="106" t="e">
        <f t="shared" si="15"/>
        <v>#REF!</v>
      </c>
      <c r="X30" s="106" t="e">
        <f t="shared" si="15"/>
        <v>#REF!</v>
      </c>
      <c r="Y30" s="106" t="e">
        <f>SUM(Y28:Y29)</f>
        <v>#REF!</v>
      </c>
      <c r="Z30" s="107"/>
      <c r="AA30" s="107"/>
      <c r="AB30" s="107"/>
      <c r="AC30" s="107"/>
      <c r="AD30" s="107"/>
      <c r="AE30" s="107"/>
    </row>
    <row r="31" spans="1:31" ht="22.5" customHeight="1">
      <c r="A31" s="30"/>
      <c r="B31" s="31" t="s">
        <v>20</v>
      </c>
      <c r="C31" s="31"/>
      <c r="D31" s="31"/>
      <c r="E31" s="31"/>
      <c r="F31" s="31"/>
      <c r="G31" s="31"/>
      <c r="H31" s="82"/>
      <c r="I31" s="80">
        <v>0</v>
      </c>
      <c r="J31" s="80" t="e">
        <f>+#REF!</f>
        <v>#REF!</v>
      </c>
      <c r="K31" s="80" t="e">
        <f>+#REF!</f>
        <v>#REF!</v>
      </c>
      <c r="L31" s="80" t="e">
        <f>+#REF!</f>
        <v>#REF!</v>
      </c>
      <c r="M31" s="80" t="e">
        <f>+#REF!</f>
        <v>#REF!</v>
      </c>
      <c r="N31" s="80" t="e">
        <f>+#REF!</f>
        <v>#REF!</v>
      </c>
      <c r="O31" s="80" t="e">
        <f>+#REF!</f>
        <v>#REF!</v>
      </c>
      <c r="P31" s="80" t="e">
        <f>+#REF!</f>
        <v>#REF!</v>
      </c>
      <c r="Q31" s="80" t="e">
        <f>+#REF!</f>
        <v>#REF!</v>
      </c>
      <c r="R31" s="80" t="e">
        <f>+#REF!</f>
        <v>#REF!</v>
      </c>
      <c r="S31" s="80" t="e">
        <f>+#REF!</f>
        <v>#REF!</v>
      </c>
      <c r="T31" s="80" t="e">
        <f>+#REF!</f>
        <v>#REF!</v>
      </c>
      <c r="U31" s="80" t="e">
        <f>+#REF!</f>
        <v>#REF!</v>
      </c>
      <c r="V31" s="80" t="e">
        <f>+#REF!</f>
        <v>#REF!</v>
      </c>
      <c r="W31" s="80" t="e">
        <f>+#REF!</f>
        <v>#REF!</v>
      </c>
      <c r="X31" s="80" t="e">
        <f>+#REF!</f>
        <v>#REF!</v>
      </c>
      <c r="Y31" s="82" t="e">
        <f>#REF!</f>
        <v>#REF!</v>
      </c>
      <c r="Z31" s="9"/>
      <c r="AA31" s="9"/>
      <c r="AB31" s="9"/>
      <c r="AC31" s="9"/>
      <c r="AD31" s="9"/>
      <c r="AE31" s="9"/>
    </row>
    <row r="32" spans="1:31" s="108" customFormat="1" ht="22.5" customHeight="1">
      <c r="A32" s="103" t="s">
        <v>7</v>
      </c>
      <c r="B32" s="104" t="s">
        <v>10</v>
      </c>
      <c r="C32" s="105"/>
      <c r="D32" s="105"/>
      <c r="E32" s="105"/>
      <c r="F32" s="105"/>
      <c r="G32" s="105"/>
      <c r="H32" s="106"/>
      <c r="I32" s="106">
        <f t="shared" ref="I32:Y32" si="16">SUM(I31:I31)</f>
        <v>0</v>
      </c>
      <c r="J32" s="106" t="e">
        <f t="shared" si="16"/>
        <v>#REF!</v>
      </c>
      <c r="K32" s="106" t="e">
        <f t="shared" si="16"/>
        <v>#REF!</v>
      </c>
      <c r="L32" s="106" t="e">
        <f t="shared" si="16"/>
        <v>#REF!</v>
      </c>
      <c r="M32" s="106" t="e">
        <f t="shared" si="16"/>
        <v>#REF!</v>
      </c>
      <c r="N32" s="106" t="e">
        <f t="shared" si="16"/>
        <v>#REF!</v>
      </c>
      <c r="O32" s="106" t="e">
        <f t="shared" si="16"/>
        <v>#REF!</v>
      </c>
      <c r="P32" s="106" t="e">
        <f t="shared" si="16"/>
        <v>#REF!</v>
      </c>
      <c r="Q32" s="106" t="e">
        <f t="shared" si="16"/>
        <v>#REF!</v>
      </c>
      <c r="R32" s="106" t="e">
        <f t="shared" si="16"/>
        <v>#REF!</v>
      </c>
      <c r="S32" s="106" t="e">
        <f t="shared" si="16"/>
        <v>#REF!</v>
      </c>
      <c r="T32" s="106" t="e">
        <f t="shared" si="16"/>
        <v>#REF!</v>
      </c>
      <c r="U32" s="106" t="e">
        <f t="shared" si="16"/>
        <v>#REF!</v>
      </c>
      <c r="V32" s="106" t="e">
        <f t="shared" si="16"/>
        <v>#REF!</v>
      </c>
      <c r="W32" s="106" t="e">
        <f t="shared" si="16"/>
        <v>#REF!</v>
      </c>
      <c r="X32" s="106" t="e">
        <f t="shared" si="16"/>
        <v>#REF!</v>
      </c>
      <c r="Y32" s="106" t="e">
        <f t="shared" si="16"/>
        <v>#REF!</v>
      </c>
      <c r="Z32" s="107"/>
      <c r="AA32" s="107"/>
      <c r="AB32" s="107"/>
      <c r="AC32" s="107"/>
      <c r="AD32" s="107"/>
      <c r="AE32" s="107"/>
    </row>
    <row r="33" spans="1:31" s="85" customFormat="1" ht="22.5" customHeight="1">
      <c r="A33" s="94"/>
      <c r="B33" s="95" t="s">
        <v>11</v>
      </c>
      <c r="C33" s="95"/>
      <c r="D33" s="95"/>
      <c r="E33" s="95"/>
      <c r="F33" s="95"/>
      <c r="G33" s="95"/>
      <c r="H33" s="96"/>
      <c r="I33" s="96" t="e">
        <f>+I23+#REF!+I30+I32+I26</f>
        <v>#REF!</v>
      </c>
      <c r="J33" s="96" t="e">
        <f>+J23+J25+J26+J30+J32</f>
        <v>#REF!</v>
      </c>
      <c r="K33" s="96" t="e">
        <f t="shared" ref="K33:X33" si="17">+K23+K25+K26+K30+K32</f>
        <v>#REF!</v>
      </c>
      <c r="L33" s="96" t="e">
        <f t="shared" si="17"/>
        <v>#REF!</v>
      </c>
      <c r="M33" s="96" t="e">
        <f t="shared" si="17"/>
        <v>#REF!</v>
      </c>
      <c r="N33" s="96" t="e">
        <f t="shared" si="17"/>
        <v>#REF!</v>
      </c>
      <c r="O33" s="96" t="e">
        <f t="shared" si="17"/>
        <v>#REF!</v>
      </c>
      <c r="P33" s="96" t="e">
        <f t="shared" si="17"/>
        <v>#REF!</v>
      </c>
      <c r="Q33" s="96" t="e">
        <f t="shared" si="17"/>
        <v>#REF!</v>
      </c>
      <c r="R33" s="96" t="e">
        <f t="shared" si="17"/>
        <v>#REF!</v>
      </c>
      <c r="S33" s="96" t="e">
        <f t="shared" si="17"/>
        <v>#REF!</v>
      </c>
      <c r="T33" s="96" t="e">
        <f t="shared" si="17"/>
        <v>#REF!</v>
      </c>
      <c r="U33" s="96" t="e">
        <f t="shared" si="17"/>
        <v>#REF!</v>
      </c>
      <c r="V33" s="96" t="e">
        <f t="shared" si="17"/>
        <v>#REF!</v>
      </c>
      <c r="W33" s="96" t="e">
        <f t="shared" si="17"/>
        <v>#REF!</v>
      </c>
      <c r="X33" s="96" t="e">
        <f t="shared" si="17"/>
        <v>#REF!</v>
      </c>
      <c r="Y33" s="96" t="e">
        <f>+Y23+#REF!+Y30+Y32+Y26</f>
        <v>#REF!</v>
      </c>
      <c r="Z33" s="97"/>
      <c r="AA33" s="97"/>
      <c r="AB33" s="97"/>
      <c r="AC33" s="97"/>
      <c r="AD33" s="97"/>
      <c r="AE33" s="97"/>
    </row>
    <row r="34" spans="1:31" ht="7.5" customHeight="1">
      <c r="A34" s="28"/>
      <c r="B34" s="9"/>
      <c r="C34" s="9"/>
      <c r="D34" s="9"/>
      <c r="E34" s="9"/>
      <c r="F34" s="9"/>
      <c r="G34" s="9"/>
      <c r="H34" s="80"/>
      <c r="I34" s="80"/>
      <c r="J34" s="80"/>
      <c r="K34" s="80"/>
      <c r="L34" s="80"/>
      <c r="M34" s="80"/>
      <c r="N34" s="80"/>
      <c r="O34" s="80"/>
      <c r="P34" s="80"/>
      <c r="Q34" s="80"/>
      <c r="R34" s="80"/>
      <c r="S34" s="80"/>
      <c r="T34" s="80"/>
      <c r="U34" s="80"/>
      <c r="V34" s="80"/>
      <c r="W34" s="80"/>
      <c r="X34" s="80"/>
      <c r="Y34" s="80"/>
      <c r="Z34" s="9"/>
      <c r="AA34" s="9"/>
      <c r="AB34" s="9"/>
      <c r="AC34" s="9"/>
      <c r="AD34" s="9"/>
      <c r="AE34" s="9"/>
    </row>
    <row r="35" spans="1:31" s="85" customFormat="1" ht="22.5" customHeight="1">
      <c r="A35" s="98"/>
      <c r="B35" s="99" t="s">
        <v>72</v>
      </c>
      <c r="C35" s="100"/>
      <c r="D35" s="98"/>
      <c r="E35" s="101"/>
      <c r="F35" s="101"/>
      <c r="G35" s="99"/>
      <c r="H35" s="102"/>
      <c r="I35" s="102" t="e">
        <f t="shared" ref="I35:Y35" si="18">+I15-I33</f>
        <v>#REF!</v>
      </c>
      <c r="J35" s="102" t="e">
        <f t="shared" si="18"/>
        <v>#REF!</v>
      </c>
      <c r="K35" s="102" t="e">
        <f t="shared" si="18"/>
        <v>#REF!</v>
      </c>
      <c r="L35" s="102" t="e">
        <f t="shared" si="18"/>
        <v>#REF!</v>
      </c>
      <c r="M35" s="102" t="e">
        <f t="shared" si="18"/>
        <v>#REF!</v>
      </c>
      <c r="N35" s="102" t="e">
        <f t="shared" si="18"/>
        <v>#REF!</v>
      </c>
      <c r="O35" s="102" t="e">
        <f t="shared" si="18"/>
        <v>#REF!</v>
      </c>
      <c r="P35" s="102" t="e">
        <f t="shared" si="18"/>
        <v>#REF!</v>
      </c>
      <c r="Q35" s="102" t="e">
        <f t="shared" si="18"/>
        <v>#REF!</v>
      </c>
      <c r="R35" s="102" t="e">
        <f t="shared" si="18"/>
        <v>#REF!</v>
      </c>
      <c r="S35" s="102" t="e">
        <f t="shared" si="18"/>
        <v>#REF!</v>
      </c>
      <c r="T35" s="102" t="e">
        <f t="shared" si="18"/>
        <v>#REF!</v>
      </c>
      <c r="U35" s="102" t="e">
        <f t="shared" si="18"/>
        <v>#REF!</v>
      </c>
      <c r="V35" s="102" t="e">
        <f t="shared" si="18"/>
        <v>#REF!</v>
      </c>
      <c r="W35" s="102" t="e">
        <f t="shared" si="18"/>
        <v>#REF!</v>
      </c>
      <c r="X35" s="102" t="e">
        <f t="shared" si="18"/>
        <v>#REF!</v>
      </c>
      <c r="Y35" s="102" t="e">
        <f t="shared" si="18"/>
        <v>#REF!</v>
      </c>
      <c r="Z35" s="97"/>
      <c r="AA35" s="97"/>
      <c r="AB35" s="97"/>
      <c r="AC35" s="97"/>
      <c r="AD35" s="97"/>
      <c r="AE35" s="97"/>
    </row>
    <row r="36" spans="1:31" ht="22.5" customHeight="1">
      <c r="A36" s="30"/>
      <c r="B36" s="31" t="s">
        <v>74</v>
      </c>
      <c r="C36" s="31"/>
      <c r="D36" s="131">
        <v>0.25</v>
      </c>
      <c r="E36" s="31"/>
      <c r="F36" s="31"/>
      <c r="G36" s="31"/>
      <c r="H36" s="82"/>
      <c r="I36" s="80">
        <v>0</v>
      </c>
      <c r="J36" s="80" t="e">
        <f>+J35*$D$36</f>
        <v>#REF!</v>
      </c>
      <c r="K36" s="80" t="e">
        <f t="shared" ref="K36:Y36" si="19">+K35*$D$36</f>
        <v>#REF!</v>
      </c>
      <c r="L36" s="80" t="e">
        <f t="shared" si="19"/>
        <v>#REF!</v>
      </c>
      <c r="M36" s="80" t="e">
        <f t="shared" si="19"/>
        <v>#REF!</v>
      </c>
      <c r="N36" s="80" t="e">
        <f t="shared" si="19"/>
        <v>#REF!</v>
      </c>
      <c r="O36" s="80" t="e">
        <f t="shared" si="19"/>
        <v>#REF!</v>
      </c>
      <c r="P36" s="80" t="e">
        <f t="shared" si="19"/>
        <v>#REF!</v>
      </c>
      <c r="Q36" s="80" t="e">
        <f t="shared" si="19"/>
        <v>#REF!</v>
      </c>
      <c r="R36" s="80" t="e">
        <f t="shared" si="19"/>
        <v>#REF!</v>
      </c>
      <c r="S36" s="80" t="e">
        <f t="shared" si="19"/>
        <v>#REF!</v>
      </c>
      <c r="T36" s="80" t="e">
        <f t="shared" si="19"/>
        <v>#REF!</v>
      </c>
      <c r="U36" s="80" t="e">
        <f t="shared" si="19"/>
        <v>#REF!</v>
      </c>
      <c r="V36" s="80" t="e">
        <f t="shared" si="19"/>
        <v>#REF!</v>
      </c>
      <c r="W36" s="80" t="e">
        <f t="shared" si="19"/>
        <v>#REF!</v>
      </c>
      <c r="X36" s="80" t="e">
        <f t="shared" si="19"/>
        <v>#REF!</v>
      </c>
      <c r="Y36" s="80" t="e">
        <f t="shared" si="19"/>
        <v>#REF!</v>
      </c>
      <c r="Z36" s="9"/>
      <c r="AA36" s="9"/>
      <c r="AB36" s="9"/>
      <c r="AC36" s="9"/>
      <c r="AD36" s="9"/>
      <c r="AE36" s="9"/>
    </row>
    <row r="37" spans="1:31" s="85" customFormat="1" ht="22.5" customHeight="1">
      <c r="A37" s="98"/>
      <c r="B37" s="99" t="s">
        <v>75</v>
      </c>
      <c r="C37" s="100"/>
      <c r="D37" s="98"/>
      <c r="E37" s="101"/>
      <c r="F37" s="101"/>
      <c r="G37" s="99"/>
      <c r="H37" s="102"/>
      <c r="I37" s="102" t="e">
        <f>+I32-#REF!</f>
        <v>#REF!</v>
      </c>
      <c r="J37" s="102" t="e">
        <f>+J35-J36</f>
        <v>#REF!</v>
      </c>
      <c r="K37" s="102" t="e">
        <f t="shared" ref="K37:W37" si="20">+K35-K36</f>
        <v>#REF!</v>
      </c>
      <c r="L37" s="102" t="e">
        <f t="shared" si="20"/>
        <v>#REF!</v>
      </c>
      <c r="M37" s="102" t="e">
        <f t="shared" si="20"/>
        <v>#REF!</v>
      </c>
      <c r="N37" s="102" t="e">
        <f t="shared" si="20"/>
        <v>#REF!</v>
      </c>
      <c r="O37" s="102" t="e">
        <f t="shared" si="20"/>
        <v>#REF!</v>
      </c>
      <c r="P37" s="102" t="e">
        <f t="shared" si="20"/>
        <v>#REF!</v>
      </c>
      <c r="Q37" s="102" t="e">
        <f t="shared" si="20"/>
        <v>#REF!</v>
      </c>
      <c r="R37" s="102" t="e">
        <f t="shared" si="20"/>
        <v>#REF!</v>
      </c>
      <c r="S37" s="102" t="e">
        <f t="shared" si="20"/>
        <v>#REF!</v>
      </c>
      <c r="T37" s="102" t="e">
        <f t="shared" si="20"/>
        <v>#REF!</v>
      </c>
      <c r="U37" s="102" t="e">
        <f t="shared" si="20"/>
        <v>#REF!</v>
      </c>
      <c r="V37" s="102" t="e">
        <f t="shared" si="20"/>
        <v>#REF!</v>
      </c>
      <c r="W37" s="102" t="e">
        <f t="shared" si="20"/>
        <v>#REF!</v>
      </c>
      <c r="X37" s="102" t="e">
        <f>+X35-X36</f>
        <v>#REF!</v>
      </c>
      <c r="Y37" s="102" t="e">
        <f>+Y32-#REF!</f>
        <v>#REF!</v>
      </c>
      <c r="Z37" s="97"/>
      <c r="AA37" s="97"/>
      <c r="AB37" s="97"/>
      <c r="AC37" s="97"/>
      <c r="AD37" s="97"/>
      <c r="AE37" s="97"/>
    </row>
    <row r="38" spans="1:31" s="7" customFormat="1" ht="16.5" customHeight="1"/>
    <row r="39" spans="1:31" s="7" customFormat="1">
      <c r="B39" s="7" t="s">
        <v>76</v>
      </c>
      <c r="J39" s="7" t="e">
        <f>+J26</f>
        <v>#REF!</v>
      </c>
      <c r="K39" s="7" t="e">
        <f t="shared" ref="K39:X39" si="21">+K26</f>
        <v>#REF!</v>
      </c>
      <c r="L39" s="7" t="e">
        <f t="shared" si="21"/>
        <v>#REF!</v>
      </c>
      <c r="M39" s="7" t="e">
        <f t="shared" si="21"/>
        <v>#REF!</v>
      </c>
      <c r="N39" s="7" t="e">
        <f t="shared" si="21"/>
        <v>#REF!</v>
      </c>
      <c r="O39" s="7" t="e">
        <f t="shared" si="21"/>
        <v>#REF!</v>
      </c>
      <c r="P39" s="7" t="e">
        <f t="shared" si="21"/>
        <v>#REF!</v>
      </c>
      <c r="Q39" s="7" t="e">
        <f t="shared" si="21"/>
        <v>#REF!</v>
      </c>
      <c r="R39" s="7" t="e">
        <f t="shared" si="21"/>
        <v>#REF!</v>
      </c>
      <c r="S39" s="7" t="e">
        <f t="shared" si="21"/>
        <v>#REF!</v>
      </c>
      <c r="T39" s="7" t="e">
        <f t="shared" si="21"/>
        <v>#REF!</v>
      </c>
      <c r="U39" s="7" t="e">
        <f t="shared" si="21"/>
        <v>#REF!</v>
      </c>
      <c r="V39" s="7" t="e">
        <f t="shared" si="21"/>
        <v>#REF!</v>
      </c>
      <c r="W39" s="7" t="e">
        <f t="shared" si="21"/>
        <v>#REF!</v>
      </c>
      <c r="X39" s="7" t="e">
        <f t="shared" si="21"/>
        <v>#REF!</v>
      </c>
    </row>
    <row r="40" spans="1:31" s="7" customFormat="1">
      <c r="B40" s="7" t="s">
        <v>21</v>
      </c>
      <c r="J40" s="7" t="e">
        <f>+J37+J39</f>
        <v>#REF!</v>
      </c>
      <c r="K40" s="7" t="e">
        <f t="shared" ref="K40:X40" si="22">+K37+K39</f>
        <v>#REF!</v>
      </c>
      <c r="L40" s="7" t="e">
        <f t="shared" si="22"/>
        <v>#REF!</v>
      </c>
      <c r="M40" s="7" t="e">
        <f t="shared" si="22"/>
        <v>#REF!</v>
      </c>
      <c r="N40" s="7" t="e">
        <f t="shared" si="22"/>
        <v>#REF!</v>
      </c>
      <c r="O40" s="7" t="e">
        <f t="shared" si="22"/>
        <v>#REF!</v>
      </c>
      <c r="P40" s="7" t="e">
        <f t="shared" si="22"/>
        <v>#REF!</v>
      </c>
      <c r="Q40" s="7" t="e">
        <f t="shared" si="22"/>
        <v>#REF!</v>
      </c>
      <c r="R40" s="7" t="e">
        <f t="shared" si="22"/>
        <v>#REF!</v>
      </c>
      <c r="S40" s="7" t="e">
        <f t="shared" si="22"/>
        <v>#REF!</v>
      </c>
      <c r="T40" s="7" t="e">
        <f t="shared" si="22"/>
        <v>#REF!</v>
      </c>
      <c r="U40" s="7" t="e">
        <f t="shared" si="22"/>
        <v>#REF!</v>
      </c>
      <c r="V40" s="7" t="e">
        <f t="shared" si="22"/>
        <v>#REF!</v>
      </c>
      <c r="W40" s="7" t="e">
        <f t="shared" si="22"/>
        <v>#REF!</v>
      </c>
      <c r="X40" s="7" t="e">
        <f t="shared" si="22"/>
        <v>#REF!</v>
      </c>
    </row>
    <row r="41" spans="1:31" s="7" customFormat="1">
      <c r="B41" s="7" t="s">
        <v>77</v>
      </c>
      <c r="J41" s="7" t="e">
        <f>+#REF!</f>
        <v>#REF!</v>
      </c>
      <c r="K41" s="7" t="e">
        <f>+#REF!</f>
        <v>#REF!</v>
      </c>
      <c r="L41" s="7" t="e">
        <f>+#REF!</f>
        <v>#REF!</v>
      </c>
      <c r="M41" s="7" t="e">
        <f>+#REF!</f>
        <v>#REF!</v>
      </c>
      <c r="N41" s="7" t="e">
        <f>+#REF!</f>
        <v>#REF!</v>
      </c>
      <c r="O41" s="7" t="e">
        <f>+#REF!</f>
        <v>#REF!</v>
      </c>
      <c r="P41" s="7" t="e">
        <f>+#REF!</f>
        <v>#REF!</v>
      </c>
      <c r="Q41" s="7" t="e">
        <f>+#REF!</f>
        <v>#REF!</v>
      </c>
      <c r="R41" s="7" t="e">
        <f>+#REF!</f>
        <v>#REF!</v>
      </c>
      <c r="S41" s="7" t="e">
        <f>+#REF!</f>
        <v>#REF!</v>
      </c>
      <c r="T41" s="7" t="e">
        <f>+#REF!</f>
        <v>#REF!</v>
      </c>
      <c r="U41" s="7" t="e">
        <f>+#REF!</f>
        <v>#REF!</v>
      </c>
      <c r="V41" s="7" t="e">
        <f>+#REF!</f>
        <v>#REF!</v>
      </c>
      <c r="W41" s="7" t="e">
        <f>+#REF!</f>
        <v>#REF!</v>
      </c>
      <c r="X41" s="7" t="e">
        <f>+#REF!</f>
        <v>#REF!</v>
      </c>
      <c r="Y41" s="7" t="e">
        <f>+#REF!</f>
        <v>#REF!</v>
      </c>
    </row>
    <row r="42" spans="1:31" s="7" customFormat="1">
      <c r="B42" s="7" t="s">
        <v>22</v>
      </c>
      <c r="J42" s="7" t="e">
        <f>+J40-J41</f>
        <v>#REF!</v>
      </c>
      <c r="K42" s="7" t="e">
        <f t="shared" ref="K42:X42" si="23">+K40-K41</f>
        <v>#REF!</v>
      </c>
      <c r="L42" s="7" t="e">
        <f t="shared" si="23"/>
        <v>#REF!</v>
      </c>
      <c r="M42" s="7" t="e">
        <f t="shared" si="23"/>
        <v>#REF!</v>
      </c>
      <c r="N42" s="7" t="e">
        <f t="shared" si="23"/>
        <v>#REF!</v>
      </c>
      <c r="O42" s="7" t="e">
        <f t="shared" si="23"/>
        <v>#REF!</v>
      </c>
      <c r="P42" s="7" t="e">
        <f t="shared" si="23"/>
        <v>#REF!</v>
      </c>
      <c r="Q42" s="7" t="e">
        <f t="shared" si="23"/>
        <v>#REF!</v>
      </c>
      <c r="R42" s="7" t="e">
        <f t="shared" si="23"/>
        <v>#REF!</v>
      </c>
      <c r="S42" s="7" t="e">
        <f t="shared" si="23"/>
        <v>#REF!</v>
      </c>
      <c r="T42" s="7" t="e">
        <f t="shared" si="23"/>
        <v>#REF!</v>
      </c>
      <c r="U42" s="7" t="e">
        <f t="shared" si="23"/>
        <v>#REF!</v>
      </c>
      <c r="V42" s="7" t="e">
        <f t="shared" si="23"/>
        <v>#REF!</v>
      </c>
      <c r="W42" s="7" t="e">
        <f t="shared" si="23"/>
        <v>#REF!</v>
      </c>
      <c r="X42" s="7" t="e">
        <f t="shared" si="23"/>
        <v>#REF!</v>
      </c>
    </row>
    <row r="43" spans="1:31" s="7" customFormat="1"/>
    <row r="44" spans="1:31" s="7" customFormat="1"/>
    <row r="45" spans="1:31" s="7" customFormat="1"/>
    <row r="46" spans="1:31" s="7" customFormat="1">
      <c r="B46" s="7" t="s">
        <v>79</v>
      </c>
      <c r="J46" s="7" t="e">
        <f>+J40+J31</f>
        <v>#REF!</v>
      </c>
      <c r="K46" s="7" t="e">
        <f t="shared" ref="K46:X46" si="24">+K40+K31</f>
        <v>#REF!</v>
      </c>
      <c r="L46" s="7" t="e">
        <f t="shared" si="24"/>
        <v>#REF!</v>
      </c>
      <c r="M46" s="7" t="e">
        <f t="shared" si="24"/>
        <v>#REF!</v>
      </c>
      <c r="N46" s="7" t="e">
        <f t="shared" si="24"/>
        <v>#REF!</v>
      </c>
      <c r="O46" s="7" t="e">
        <f t="shared" si="24"/>
        <v>#REF!</v>
      </c>
      <c r="P46" s="7" t="e">
        <f t="shared" si="24"/>
        <v>#REF!</v>
      </c>
      <c r="Q46" s="7" t="e">
        <f t="shared" si="24"/>
        <v>#REF!</v>
      </c>
      <c r="R46" s="7" t="e">
        <f t="shared" si="24"/>
        <v>#REF!</v>
      </c>
      <c r="S46" s="7" t="e">
        <f t="shared" si="24"/>
        <v>#REF!</v>
      </c>
      <c r="T46" s="7" t="e">
        <f t="shared" si="24"/>
        <v>#REF!</v>
      </c>
      <c r="U46" s="7" t="e">
        <f t="shared" si="24"/>
        <v>#REF!</v>
      </c>
      <c r="V46" s="7" t="e">
        <f t="shared" si="24"/>
        <v>#REF!</v>
      </c>
      <c r="W46" s="7" t="e">
        <f t="shared" si="24"/>
        <v>#REF!</v>
      </c>
      <c r="X46" s="7" t="e">
        <f t="shared" si="24"/>
        <v>#REF!</v>
      </c>
    </row>
    <row r="47" spans="1:31" s="7" customFormat="1"/>
    <row r="48" spans="1:31" s="7" customFormat="1"/>
    <row r="49" spans="2:25">
      <c r="B49" s="8" t="s">
        <v>80</v>
      </c>
      <c r="J49" s="8" t="e">
        <f>+J46</f>
        <v>#REF!</v>
      </c>
      <c r="K49" s="8" t="e">
        <f>+J49+K46</f>
        <v>#REF!</v>
      </c>
      <c r="L49" s="8" t="e">
        <f t="shared" ref="L49:X49" si="25">+K49+L46</f>
        <v>#REF!</v>
      </c>
      <c r="M49" s="8" t="e">
        <f t="shared" si="25"/>
        <v>#REF!</v>
      </c>
      <c r="N49" s="8" t="e">
        <f t="shared" si="25"/>
        <v>#REF!</v>
      </c>
      <c r="O49" s="8" t="e">
        <f t="shared" si="25"/>
        <v>#REF!</v>
      </c>
      <c r="P49" s="8" t="e">
        <f t="shared" si="25"/>
        <v>#REF!</v>
      </c>
      <c r="Q49" s="8" t="e">
        <f t="shared" si="25"/>
        <v>#REF!</v>
      </c>
      <c r="R49" s="8" t="e">
        <f t="shared" si="25"/>
        <v>#REF!</v>
      </c>
      <c r="S49" s="8" t="e">
        <f t="shared" si="25"/>
        <v>#REF!</v>
      </c>
      <c r="T49" s="8" t="e">
        <f t="shared" si="25"/>
        <v>#REF!</v>
      </c>
      <c r="U49" s="8" t="e">
        <f t="shared" si="25"/>
        <v>#REF!</v>
      </c>
      <c r="V49" s="8" t="e">
        <f t="shared" si="25"/>
        <v>#REF!</v>
      </c>
      <c r="W49" s="8" t="e">
        <f t="shared" si="25"/>
        <v>#REF!</v>
      </c>
      <c r="X49" s="8" t="e">
        <f t="shared" si="25"/>
        <v>#REF!</v>
      </c>
    </row>
    <row r="50" spans="2:25" s="7" customFormat="1">
      <c r="B50" s="7" t="s">
        <v>64</v>
      </c>
      <c r="J50" s="7" t="e">
        <f>+#REF!</f>
        <v>#REF!</v>
      </c>
      <c r="K50" s="7" t="e">
        <f>+J50</f>
        <v>#REF!</v>
      </c>
      <c r="L50" s="7" t="e">
        <f t="shared" ref="L50:X53" si="26">+K50</f>
        <v>#REF!</v>
      </c>
      <c r="M50" s="7" t="e">
        <f t="shared" si="26"/>
        <v>#REF!</v>
      </c>
      <c r="N50" s="7" t="e">
        <f t="shared" si="26"/>
        <v>#REF!</v>
      </c>
      <c r="O50" s="7" t="e">
        <f t="shared" si="26"/>
        <v>#REF!</v>
      </c>
      <c r="P50" s="7" t="e">
        <f t="shared" si="26"/>
        <v>#REF!</v>
      </c>
      <c r="Q50" s="7" t="e">
        <f t="shared" si="26"/>
        <v>#REF!</v>
      </c>
      <c r="R50" s="7" t="e">
        <f t="shared" si="26"/>
        <v>#REF!</v>
      </c>
      <c r="S50" s="7" t="e">
        <f t="shared" si="26"/>
        <v>#REF!</v>
      </c>
      <c r="T50" s="7" t="e">
        <f t="shared" si="26"/>
        <v>#REF!</v>
      </c>
      <c r="U50" s="7" t="e">
        <f t="shared" si="26"/>
        <v>#REF!</v>
      </c>
      <c r="V50" s="7" t="e">
        <f t="shared" si="26"/>
        <v>#REF!</v>
      </c>
      <c r="W50" s="7" t="e">
        <f t="shared" si="26"/>
        <v>#REF!</v>
      </c>
      <c r="X50" s="7" t="e">
        <f t="shared" si="26"/>
        <v>#REF!</v>
      </c>
    </row>
    <row r="51" spans="2:25" s="7" customFormat="1"/>
    <row r="52" spans="2:25" s="7" customFormat="1">
      <c r="B52" s="7" t="s">
        <v>81</v>
      </c>
      <c r="J52" s="7" t="e">
        <f>+J42</f>
        <v>#REF!</v>
      </c>
      <c r="K52" s="7" t="e">
        <f t="shared" ref="K52:Y52" si="27">+J52+K42</f>
        <v>#REF!</v>
      </c>
      <c r="L52" s="7" t="e">
        <f t="shared" si="27"/>
        <v>#REF!</v>
      </c>
      <c r="M52" s="7" t="e">
        <f t="shared" si="27"/>
        <v>#REF!</v>
      </c>
      <c r="N52" s="7" t="e">
        <f t="shared" si="27"/>
        <v>#REF!</v>
      </c>
      <c r="O52" s="7" t="e">
        <f t="shared" si="27"/>
        <v>#REF!</v>
      </c>
      <c r="P52" s="7" t="e">
        <f t="shared" si="27"/>
        <v>#REF!</v>
      </c>
      <c r="Q52" s="7" t="e">
        <f t="shared" si="27"/>
        <v>#REF!</v>
      </c>
      <c r="R52" s="7" t="e">
        <f t="shared" si="27"/>
        <v>#REF!</v>
      </c>
      <c r="S52" s="7" t="e">
        <f t="shared" si="27"/>
        <v>#REF!</v>
      </c>
      <c r="T52" s="7" t="e">
        <f t="shared" si="27"/>
        <v>#REF!</v>
      </c>
      <c r="U52" s="7" t="e">
        <f t="shared" si="27"/>
        <v>#REF!</v>
      </c>
      <c r="V52" s="7" t="e">
        <f t="shared" si="27"/>
        <v>#REF!</v>
      </c>
      <c r="W52" s="7" t="e">
        <f t="shared" si="27"/>
        <v>#REF!</v>
      </c>
      <c r="X52" s="7" t="e">
        <f t="shared" si="27"/>
        <v>#REF!</v>
      </c>
      <c r="Y52" s="7" t="e">
        <f t="shared" si="27"/>
        <v>#REF!</v>
      </c>
    </row>
    <row r="53" spans="2:25" s="7" customFormat="1">
      <c r="B53" s="7" t="s">
        <v>78</v>
      </c>
      <c r="J53" s="7" t="e">
        <f>+#REF!</f>
        <v>#REF!</v>
      </c>
      <c r="K53" s="7" t="e">
        <f>+J53</f>
        <v>#REF!</v>
      </c>
      <c r="L53" s="7" t="e">
        <f t="shared" si="26"/>
        <v>#REF!</v>
      </c>
      <c r="M53" s="7" t="e">
        <f t="shared" si="26"/>
        <v>#REF!</v>
      </c>
      <c r="N53" s="7" t="e">
        <f t="shared" si="26"/>
        <v>#REF!</v>
      </c>
      <c r="O53" s="7" t="e">
        <f t="shared" si="26"/>
        <v>#REF!</v>
      </c>
      <c r="P53" s="7" t="e">
        <f t="shared" si="26"/>
        <v>#REF!</v>
      </c>
      <c r="Q53" s="7" t="e">
        <f t="shared" si="26"/>
        <v>#REF!</v>
      </c>
      <c r="R53" s="7" t="e">
        <f t="shared" si="26"/>
        <v>#REF!</v>
      </c>
      <c r="S53" s="7" t="e">
        <f t="shared" si="26"/>
        <v>#REF!</v>
      </c>
      <c r="T53" s="7" t="e">
        <f t="shared" si="26"/>
        <v>#REF!</v>
      </c>
      <c r="U53" s="7" t="e">
        <f t="shared" si="26"/>
        <v>#REF!</v>
      </c>
      <c r="V53" s="7" t="e">
        <f t="shared" si="26"/>
        <v>#REF!</v>
      </c>
      <c r="W53" s="7" t="e">
        <f t="shared" si="26"/>
        <v>#REF!</v>
      </c>
      <c r="X53" s="7" t="e">
        <f t="shared" si="26"/>
        <v>#REF!</v>
      </c>
    </row>
    <row r="54" spans="2:25" s="7" customFormat="1"/>
    <row r="55" spans="2:25" s="7" customFormat="1">
      <c r="B55" s="7" t="s">
        <v>86</v>
      </c>
      <c r="C55" s="130" t="e">
        <f>IRR(G55:X55)</f>
        <v>#VALUE!</v>
      </c>
      <c r="G55" s="7" t="e">
        <f>-J50</f>
        <v>#REF!</v>
      </c>
      <c r="J55" s="7" t="e">
        <f>+J49</f>
        <v>#REF!</v>
      </c>
      <c r="K55" s="7" t="e">
        <f t="shared" ref="K55:X55" si="28">+K49</f>
        <v>#REF!</v>
      </c>
      <c r="L55" s="7" t="e">
        <f t="shared" si="28"/>
        <v>#REF!</v>
      </c>
      <c r="M55" s="7" t="e">
        <f t="shared" si="28"/>
        <v>#REF!</v>
      </c>
      <c r="N55" s="7" t="e">
        <f t="shared" si="28"/>
        <v>#REF!</v>
      </c>
      <c r="O55" s="7" t="e">
        <f t="shared" si="28"/>
        <v>#REF!</v>
      </c>
      <c r="P55" s="7" t="e">
        <f t="shared" si="28"/>
        <v>#REF!</v>
      </c>
      <c r="Q55" s="7" t="e">
        <f t="shared" si="28"/>
        <v>#REF!</v>
      </c>
      <c r="R55" s="7" t="e">
        <f t="shared" si="28"/>
        <v>#REF!</v>
      </c>
      <c r="S55" s="7" t="e">
        <f t="shared" si="28"/>
        <v>#REF!</v>
      </c>
      <c r="T55" s="7" t="e">
        <f t="shared" si="28"/>
        <v>#REF!</v>
      </c>
      <c r="U55" s="7" t="e">
        <f t="shared" si="28"/>
        <v>#REF!</v>
      </c>
      <c r="V55" s="7" t="e">
        <f t="shared" si="28"/>
        <v>#REF!</v>
      </c>
      <c r="W55" s="7" t="e">
        <f t="shared" si="28"/>
        <v>#REF!</v>
      </c>
      <c r="X55" s="7" t="e">
        <f t="shared" si="28"/>
        <v>#REF!</v>
      </c>
    </row>
    <row r="56" spans="2:25" s="7" customFormat="1"/>
    <row r="57" spans="2:25" s="7" customFormat="1">
      <c r="B57"/>
      <c r="Y57" s="7" t="e">
        <f>IF(Y52&lt;#REF!,1,0)</f>
        <v>#REF!</v>
      </c>
    </row>
    <row r="58" spans="2:25" s="7" customFormat="1">
      <c r="B58"/>
    </row>
    <row r="59" spans="2:25" s="7" customFormat="1"/>
    <row r="60" spans="2:25" s="7" customFormat="1">
      <c r="D60" s="17" t="s">
        <v>73</v>
      </c>
      <c r="J60" s="130" t="e">
        <f>+(J37/J12)*('G&amp;V'!J12/#REF!)</f>
        <v>#REF!</v>
      </c>
    </row>
    <row r="61" spans="2:25" s="7" customFormat="1"/>
    <row r="62" spans="2:25" s="7" customFormat="1"/>
    <row r="63" spans="2:25" s="7" customFormat="1"/>
    <row r="64" spans="2:25" s="7" customFormat="1"/>
    <row r="65" s="7" customFormat="1"/>
    <row r="66" s="7" customFormat="1"/>
    <row r="67" s="7" customFormat="1"/>
    <row r="68" s="7" customFormat="1"/>
    <row r="69" s="7" customFormat="1"/>
    <row r="70" s="7" customFormat="1"/>
    <row r="71" s="7" customFormat="1"/>
    <row r="72" s="7" customFormat="1"/>
    <row r="73" s="7" customFormat="1"/>
    <row r="74" s="7" customFormat="1"/>
    <row r="75" s="7" customFormat="1"/>
    <row r="76" s="7" customFormat="1"/>
    <row r="77" s="7" customFormat="1"/>
    <row r="78" s="7" customFormat="1"/>
    <row r="79" s="7" customFormat="1"/>
    <row r="80" s="7" customFormat="1"/>
    <row r="81" s="7" customFormat="1"/>
    <row r="82" s="7" customFormat="1"/>
    <row r="83" s="7" customFormat="1"/>
    <row r="84" s="7" customFormat="1"/>
    <row r="85" s="7" customFormat="1"/>
    <row r="86" s="7" customFormat="1"/>
    <row r="87" s="7" customFormat="1"/>
    <row r="88" s="7" customFormat="1"/>
    <row r="89" s="7" customFormat="1"/>
    <row r="90" s="7" customFormat="1"/>
    <row r="91" s="7" customFormat="1"/>
    <row r="92" s="7" customFormat="1"/>
    <row r="93" s="7" customFormat="1"/>
    <row r="94" s="7" customFormat="1"/>
    <row r="95" s="7" customFormat="1"/>
    <row r="96" s="7" customFormat="1"/>
    <row r="97" s="7" customFormat="1"/>
    <row r="98" s="7" customFormat="1"/>
    <row r="99" s="7" customFormat="1"/>
    <row r="100" s="7" customFormat="1"/>
    <row r="101" s="7" customFormat="1"/>
    <row r="102" s="7" customFormat="1"/>
    <row r="103" s="7" customFormat="1"/>
    <row r="104" s="7" customFormat="1"/>
    <row r="105" s="7" customFormat="1"/>
    <row r="106" s="7" customFormat="1"/>
    <row r="107" s="7" customFormat="1"/>
    <row r="108" s="7" customFormat="1"/>
    <row r="109" s="7" customFormat="1"/>
    <row r="110" s="7" customFormat="1"/>
    <row r="111" s="7" customFormat="1"/>
    <row r="112" s="7" customFormat="1"/>
    <row r="113" s="7" customFormat="1"/>
    <row r="114" s="7" customFormat="1"/>
    <row r="115" s="7" customFormat="1"/>
    <row r="116" s="7" customFormat="1"/>
    <row r="117" s="7" customFormat="1"/>
    <row r="118" s="7" customFormat="1"/>
    <row r="119" s="7" customFormat="1"/>
    <row r="120" s="7" customFormat="1"/>
    <row r="121" s="7" customFormat="1"/>
    <row r="122" s="7" customFormat="1"/>
    <row r="123" s="7" customFormat="1"/>
    <row r="124" s="7" customFormat="1"/>
    <row r="125" s="7" customFormat="1"/>
    <row r="126" s="7" customFormat="1"/>
    <row r="127" s="7" customFormat="1"/>
    <row r="128" s="7" customFormat="1"/>
    <row r="129" s="7" customFormat="1"/>
    <row r="130" s="7" customFormat="1"/>
    <row r="131" s="7" customFormat="1"/>
    <row r="132" s="7" customFormat="1"/>
    <row r="133" s="7" customFormat="1"/>
    <row r="134" s="7" customFormat="1"/>
    <row r="135" s="7" customFormat="1"/>
    <row r="136" s="7" customFormat="1"/>
    <row r="137" s="7" customFormat="1"/>
    <row r="138" s="7" customFormat="1"/>
    <row r="139" s="7" customFormat="1"/>
    <row r="140" s="7" customFormat="1"/>
    <row r="141" s="7" customFormat="1"/>
    <row r="142" s="7" customFormat="1"/>
    <row r="143" s="7" customFormat="1"/>
    <row r="144" s="7" customFormat="1"/>
    <row r="145" s="7" customFormat="1"/>
    <row r="146" s="7" customFormat="1"/>
    <row r="147" s="7" customFormat="1"/>
    <row r="148" s="7" customFormat="1"/>
    <row r="149" s="7" customFormat="1"/>
    <row r="150" s="7" customFormat="1"/>
    <row r="151" s="7" customFormat="1"/>
    <row r="152" s="7" customFormat="1"/>
    <row r="153" s="7" customFormat="1"/>
    <row r="154" s="7" customFormat="1"/>
    <row r="155" s="7" customFormat="1"/>
    <row r="156" s="7" customFormat="1"/>
    <row r="157" s="7" customFormat="1"/>
    <row r="158" s="7" customFormat="1"/>
    <row r="159" s="7" customFormat="1"/>
    <row r="160" s="7" customFormat="1"/>
    <row r="161" s="7" customFormat="1"/>
    <row r="162" s="7" customFormat="1"/>
    <row r="163" s="7" customFormat="1"/>
    <row r="164" s="7" customFormat="1"/>
    <row r="165" s="7" customFormat="1"/>
    <row r="166" s="7" customFormat="1"/>
    <row r="167" s="7" customFormat="1"/>
    <row r="168" s="7" customFormat="1"/>
    <row r="169" s="7" customFormat="1"/>
    <row r="170" s="7" customFormat="1"/>
    <row r="171" s="7" customFormat="1"/>
    <row r="172" s="7" customFormat="1"/>
    <row r="173" s="7" customFormat="1"/>
    <row r="174" s="7" customFormat="1"/>
    <row r="175" s="7" customFormat="1"/>
    <row r="176" s="7" customFormat="1"/>
    <row r="177" s="7" customFormat="1"/>
    <row r="178" s="7" customFormat="1"/>
    <row r="179" s="7" customFormat="1"/>
    <row r="180" s="7" customFormat="1"/>
    <row r="181" s="7" customFormat="1"/>
    <row r="182" s="7" customFormat="1"/>
    <row r="183" s="7" customFormat="1"/>
    <row r="184" s="7" customFormat="1"/>
    <row r="185" s="7" customFormat="1"/>
    <row r="186" s="7" customFormat="1"/>
    <row r="187" s="7" customFormat="1"/>
    <row r="188" s="7" customFormat="1"/>
    <row r="189" s="7" customFormat="1"/>
    <row r="190" s="7" customFormat="1"/>
    <row r="191" s="7" customFormat="1"/>
    <row r="192" s="7" customFormat="1"/>
    <row r="193" s="7" customFormat="1"/>
    <row r="194" s="7" customFormat="1"/>
    <row r="195" s="7" customFormat="1"/>
    <row r="196" s="7" customFormat="1"/>
    <row r="197" s="7" customFormat="1"/>
    <row r="198" s="7" customFormat="1"/>
    <row r="199" s="7" customFormat="1"/>
    <row r="200" s="7" customFormat="1"/>
    <row r="201" s="7" customFormat="1"/>
    <row r="202" s="7" customFormat="1"/>
    <row r="203" s="7" customFormat="1"/>
    <row r="204" s="7" customFormat="1"/>
    <row r="205" s="7" customFormat="1"/>
    <row r="206" s="7" customFormat="1"/>
    <row r="207" s="7" customFormat="1"/>
    <row r="208" s="7" customFormat="1"/>
    <row r="209" s="7" customFormat="1"/>
    <row r="210" s="7" customFormat="1"/>
    <row r="211" s="7" customFormat="1"/>
    <row r="212" s="7" customFormat="1"/>
    <row r="213" s="7" customFormat="1"/>
    <row r="214" s="7" customFormat="1"/>
    <row r="215" s="7" customFormat="1"/>
    <row r="216" s="7" customFormat="1"/>
    <row r="217" s="7" customFormat="1"/>
    <row r="218" s="7" customFormat="1"/>
    <row r="219" s="7" customFormat="1"/>
    <row r="220" s="7" customFormat="1"/>
    <row r="221" s="7" customFormat="1"/>
    <row r="222" s="7" customFormat="1"/>
    <row r="223" s="7" customFormat="1"/>
    <row r="224" s="7" customFormat="1"/>
    <row r="225" s="7" customFormat="1"/>
    <row r="226" s="7" customFormat="1"/>
    <row r="227" s="7" customFormat="1"/>
    <row r="228" s="7" customFormat="1"/>
    <row r="229" s="7" customFormat="1"/>
    <row r="230" s="7" customFormat="1"/>
    <row r="231" s="7" customFormat="1"/>
    <row r="232" s="7" customFormat="1"/>
    <row r="233" s="7" customFormat="1"/>
    <row r="234" s="7" customFormat="1"/>
    <row r="235" s="7" customFormat="1"/>
    <row r="236" s="7" customFormat="1"/>
    <row r="237" s="7" customFormat="1"/>
    <row r="238" s="7" customFormat="1"/>
    <row r="239" s="7" customFormat="1"/>
    <row r="240" s="7" customFormat="1"/>
    <row r="241" s="7" customFormat="1"/>
    <row r="242" s="7" customFormat="1"/>
    <row r="243" s="7" customFormat="1"/>
    <row r="244" s="7" customFormat="1"/>
    <row r="245" s="7" customFormat="1"/>
    <row r="246" s="7" customFormat="1"/>
    <row r="247" s="7" customFormat="1"/>
    <row r="248" s="7" customFormat="1"/>
    <row r="249" s="7" customFormat="1"/>
    <row r="250" s="7" customFormat="1"/>
    <row r="251" s="7" customFormat="1"/>
    <row r="252" s="7" customFormat="1"/>
    <row r="253" s="7" customFormat="1"/>
    <row r="254" s="7" customFormat="1"/>
    <row r="255" s="7" customFormat="1"/>
    <row r="256" s="7" customFormat="1"/>
    <row r="257" s="7" customFormat="1"/>
    <row r="258" s="7" customFormat="1"/>
    <row r="259" s="7" customFormat="1"/>
    <row r="260" s="7" customFormat="1"/>
    <row r="261" s="7" customFormat="1"/>
    <row r="262" s="7" customFormat="1"/>
    <row r="263" s="7" customFormat="1"/>
    <row r="264" s="7" customFormat="1"/>
    <row r="265" s="7" customFormat="1"/>
    <row r="266" s="7" customFormat="1"/>
    <row r="267" s="7" customFormat="1"/>
    <row r="268" s="7" customFormat="1"/>
    <row r="269" s="7" customFormat="1"/>
    <row r="270" s="7" customFormat="1"/>
    <row r="271" s="7" customFormat="1"/>
    <row r="272" s="7" customFormat="1"/>
    <row r="273" s="7" customFormat="1"/>
    <row r="274" s="7" customFormat="1"/>
    <row r="275" s="7" customFormat="1"/>
    <row r="276" s="7" customFormat="1"/>
    <row r="277" s="7" customFormat="1"/>
    <row r="278" s="7" customFormat="1"/>
    <row r="279" s="7" customFormat="1"/>
    <row r="280" s="7" customFormat="1"/>
    <row r="281" s="7" customFormat="1"/>
    <row r="282" s="7" customFormat="1"/>
    <row r="283" s="7" customFormat="1"/>
    <row r="284" s="7" customFormat="1"/>
    <row r="285" s="7" customFormat="1"/>
    <row r="286" s="7" customFormat="1"/>
    <row r="287" s="7" customFormat="1"/>
    <row r="288" s="7" customFormat="1"/>
    <row r="289" s="7" customFormat="1"/>
    <row r="290" s="7" customFormat="1"/>
    <row r="291" s="7" customFormat="1"/>
    <row r="292" s="7" customFormat="1"/>
    <row r="293" s="7" customFormat="1"/>
    <row r="294" s="7" customFormat="1"/>
    <row r="295" s="7" customFormat="1"/>
    <row r="296" s="7" customFormat="1"/>
    <row r="297" s="7" customFormat="1"/>
    <row r="298" s="7" customFormat="1"/>
    <row r="299" s="7" customFormat="1"/>
    <row r="300" s="7" customFormat="1"/>
    <row r="301" s="7" customFormat="1"/>
    <row r="302" s="7" customFormat="1"/>
    <row r="303" s="7" customFormat="1"/>
    <row r="304" s="7" customFormat="1"/>
    <row r="305" s="7" customFormat="1"/>
    <row r="306" s="7" customFormat="1"/>
    <row r="307" s="7" customFormat="1"/>
    <row r="308" s="7" customFormat="1"/>
    <row r="309" s="7" customFormat="1"/>
    <row r="310" s="7" customFormat="1"/>
    <row r="311" s="7" customFormat="1"/>
    <row r="312" s="7" customFormat="1"/>
    <row r="313" s="7" customFormat="1"/>
    <row r="314" s="7" customFormat="1"/>
    <row r="315" s="7" customFormat="1"/>
    <row r="316" s="7" customFormat="1"/>
    <row r="317" s="7" customFormat="1"/>
    <row r="318" s="7" customFormat="1"/>
    <row r="319" s="7" customFormat="1"/>
    <row r="320" s="7" customFormat="1"/>
    <row r="321" s="7" customFormat="1"/>
    <row r="322" s="7" customFormat="1"/>
    <row r="323" s="7" customFormat="1"/>
    <row r="324" s="7" customFormat="1"/>
    <row r="325" s="7" customFormat="1"/>
    <row r="326" s="7" customFormat="1"/>
    <row r="327" s="7" customFormat="1"/>
    <row r="328" s="7" customFormat="1"/>
    <row r="329" s="7" customFormat="1"/>
    <row r="330" s="7" customFormat="1"/>
    <row r="331" s="7" customFormat="1"/>
    <row r="332" s="7" customFormat="1"/>
    <row r="333" s="7" customFormat="1"/>
    <row r="334" s="7" customFormat="1"/>
    <row r="335" s="7" customFormat="1"/>
    <row r="336" s="7" customFormat="1"/>
    <row r="337" s="7" customFormat="1"/>
    <row r="338" s="7" customFormat="1"/>
    <row r="339" s="7" customFormat="1"/>
    <row r="340" s="7" customFormat="1"/>
    <row r="341" s="7" customFormat="1"/>
    <row r="342" s="7" customFormat="1"/>
    <row r="343" s="7" customFormat="1"/>
    <row r="344" s="7" customFormat="1"/>
    <row r="345" s="7" customFormat="1"/>
    <row r="346" s="7" customFormat="1"/>
    <row r="347" s="7" customFormat="1"/>
    <row r="348" s="7" customFormat="1"/>
    <row r="349" s="7" customFormat="1"/>
    <row r="350" s="7" customFormat="1"/>
    <row r="351" s="7" customFormat="1"/>
    <row r="352" s="7" customFormat="1"/>
    <row r="353" s="7" customFormat="1"/>
    <row r="354" s="7" customFormat="1"/>
    <row r="355" s="7" customFormat="1"/>
    <row r="356" s="7" customFormat="1"/>
    <row r="357" s="7" customFormat="1"/>
    <row r="358" s="7" customFormat="1"/>
    <row r="359" s="7" customFormat="1"/>
    <row r="360" s="7" customFormat="1"/>
    <row r="361" s="7" customFormat="1"/>
    <row r="362" s="7" customFormat="1"/>
    <row r="363" s="7" customFormat="1"/>
    <row r="364" s="7" customFormat="1"/>
    <row r="365" s="7" customFormat="1"/>
    <row r="366" s="7" customFormat="1"/>
    <row r="367" s="7" customFormat="1"/>
    <row r="368" s="7" customFormat="1"/>
    <row r="369" s="7" customFormat="1"/>
    <row r="370" s="7" customFormat="1"/>
    <row r="371" s="7" customFormat="1"/>
    <row r="372" s="7" customFormat="1"/>
    <row r="373" s="7" customFormat="1"/>
    <row r="374" s="7" customFormat="1"/>
    <row r="375" s="7" customFormat="1"/>
    <row r="376" s="7" customFormat="1"/>
    <row r="377" s="7" customFormat="1"/>
    <row r="378" s="7" customFormat="1"/>
    <row r="379" s="7" customFormat="1"/>
    <row r="380" s="7" customFormat="1"/>
    <row r="381" s="7" customFormat="1"/>
    <row r="382" s="7" customFormat="1"/>
    <row r="383" s="7" customFormat="1"/>
    <row r="384" s="7" customFormat="1"/>
    <row r="385" s="7" customFormat="1"/>
    <row r="386" s="7" customFormat="1"/>
    <row r="387" s="7" customFormat="1"/>
    <row r="388" s="7" customFormat="1"/>
    <row r="389" s="7" customFormat="1"/>
    <row r="390" s="7" customFormat="1"/>
    <row r="391" s="7" customFormat="1"/>
    <row r="392" s="7" customFormat="1"/>
    <row r="393" s="7" customFormat="1"/>
    <row r="394" s="7" customFormat="1"/>
    <row r="395" s="7" customFormat="1"/>
    <row r="396" s="7" customFormat="1"/>
    <row r="397" s="7" customFormat="1"/>
    <row r="398" s="7" customFormat="1"/>
    <row r="399" s="7" customFormat="1"/>
    <row r="400" s="7" customFormat="1"/>
  </sheetData>
  <sheetProtection selectLockedCells="1" selectUnlockedCells="1"/>
  <mergeCells count="1">
    <mergeCell ref="J2:K2"/>
  </mergeCells>
  <pageMargins left="0.6692913385826772" right="0.39370078740157483" top="1.1023622047244095" bottom="0.59055118110236227" header="0.31496062992125984" footer="0.31496062992125984"/>
  <pageSetup paperSize="8" scale="80" orientation="landscape" r:id="rId1"/>
  <headerFooter scaleWithDoc="0">
    <oddFooter>&amp;C&amp;11- vertraulich -&amp;R&amp;11Seite 6</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5">
    <tabColor theme="4"/>
    <pageSetUpPr fitToPage="1"/>
  </sheetPr>
  <dimension ref="A1:AD16"/>
  <sheetViews>
    <sheetView zoomScale="70" zoomScaleNormal="70" zoomScalePageLayoutView="75" workbookViewId="0">
      <selection activeCell="J20" sqref="J20"/>
    </sheetView>
  </sheetViews>
  <sheetFormatPr baseColWidth="10" defaultColWidth="11.5546875" defaultRowHeight="15"/>
  <cols>
    <col min="1" max="1" width="1.109375" customWidth="1"/>
    <col min="2" max="2" width="2.88671875" customWidth="1"/>
    <col min="3" max="3" width="28.88671875" customWidth="1"/>
    <col min="4" max="4" width="5.109375" customWidth="1"/>
    <col min="5" max="5" width="9.44140625" customWidth="1"/>
    <col min="6" max="6" width="11.5546875" customWidth="1"/>
    <col min="7" max="7" width="1.6640625" customWidth="1"/>
    <col min="8" max="8" width="11.5546875" customWidth="1"/>
    <col min="9" max="9" width="1.33203125" customWidth="1"/>
    <col min="10" max="10" width="20.21875" customWidth="1"/>
    <col min="11" max="11" width="2.77734375" customWidth="1"/>
    <col min="12" max="12" width="12.21875" customWidth="1"/>
    <col min="13" max="13" width="3.44140625" customWidth="1"/>
    <col min="14" max="30" width="9.44140625" customWidth="1"/>
  </cols>
  <sheetData>
    <row r="1" spans="1:30" ht="6.75" customHeight="1">
      <c r="A1" s="44"/>
      <c r="B1" s="45"/>
      <c r="C1" s="45"/>
      <c r="D1" s="45"/>
      <c r="E1" s="45"/>
      <c r="F1" s="45"/>
      <c r="G1" s="45"/>
      <c r="H1" s="45"/>
      <c r="I1" s="45"/>
      <c r="J1" s="45"/>
      <c r="K1" s="38"/>
      <c r="L1" s="38"/>
      <c r="M1" s="38"/>
      <c r="N1" s="38"/>
      <c r="O1" s="38"/>
      <c r="P1" s="38"/>
      <c r="Q1" s="38"/>
      <c r="R1" s="38"/>
      <c r="S1" s="38"/>
      <c r="T1" s="38"/>
      <c r="U1" s="38"/>
      <c r="V1" s="38"/>
      <c r="W1" s="38"/>
      <c r="X1" s="38"/>
      <c r="Y1" s="38"/>
      <c r="Z1" s="38"/>
      <c r="AA1" s="38"/>
      <c r="AB1" s="38"/>
      <c r="AC1" s="38"/>
      <c r="AD1" s="38"/>
    </row>
    <row r="2" spans="1:30" ht="15.75">
      <c r="A2" s="46"/>
      <c r="C2" s="84" t="s">
        <v>2</v>
      </c>
      <c r="D2" s="409" t="e">
        <f>#REF!</f>
        <v>#REF!</v>
      </c>
      <c r="E2" s="409"/>
      <c r="F2" s="409"/>
      <c r="G2" s="409"/>
      <c r="H2" s="409"/>
      <c r="I2" s="19"/>
      <c r="J2" s="47" t="s">
        <v>0</v>
      </c>
      <c r="K2" s="408" t="e">
        <f>#REF!</f>
        <v>#REF!</v>
      </c>
      <c r="L2" s="408"/>
      <c r="M2" s="18"/>
      <c r="N2" s="18"/>
      <c r="O2" s="18"/>
      <c r="P2" s="2"/>
      <c r="Q2" s="6" t="s">
        <v>23</v>
      </c>
      <c r="R2" s="78" t="e">
        <f>#REF!</f>
        <v>#REF!</v>
      </c>
      <c r="S2" s="5"/>
      <c r="T2" s="2"/>
      <c r="U2" s="6" t="s">
        <v>24</v>
      </c>
      <c r="V2" s="42" t="e">
        <f>#REF!</f>
        <v>#REF!</v>
      </c>
      <c r="W2" s="5"/>
      <c r="X2" s="5"/>
      <c r="Y2" s="5"/>
      <c r="Z2" s="5"/>
      <c r="AA2" s="5"/>
      <c r="AB2" s="5"/>
      <c r="AC2" s="5"/>
      <c r="AD2" s="5"/>
    </row>
    <row r="3" spans="1:30" ht="6.75" customHeight="1">
      <c r="A3" s="48"/>
      <c r="B3" s="43"/>
      <c r="C3" s="43"/>
      <c r="D3" s="43"/>
      <c r="E3" s="43"/>
      <c r="F3" s="49"/>
      <c r="G3" s="43"/>
      <c r="H3" s="43"/>
      <c r="I3" s="43"/>
      <c r="J3" s="43"/>
      <c r="K3" s="43"/>
      <c r="L3" s="43"/>
      <c r="M3" s="43"/>
      <c r="N3" s="43"/>
      <c r="O3" s="43"/>
      <c r="P3" s="43"/>
      <c r="Q3" s="43"/>
      <c r="R3" s="43"/>
      <c r="S3" s="43"/>
      <c r="T3" s="43"/>
      <c r="U3" s="43"/>
      <c r="V3" s="43"/>
      <c r="W3" s="43"/>
      <c r="X3" s="43"/>
      <c r="Y3" s="43"/>
      <c r="Z3" s="43"/>
      <c r="AA3" s="43"/>
      <c r="AB3" s="43"/>
      <c r="AC3" s="43"/>
      <c r="AD3" s="43"/>
    </row>
    <row r="4" spans="1:30" ht="9.75" customHeight="1">
      <c r="A4" s="1"/>
      <c r="B4" s="1"/>
      <c r="C4" s="1"/>
      <c r="D4" s="1"/>
      <c r="E4" s="1"/>
      <c r="F4" s="4"/>
      <c r="G4" s="1"/>
      <c r="H4" s="1"/>
      <c r="I4" s="1"/>
      <c r="J4" s="1"/>
      <c r="K4" s="1"/>
      <c r="L4" s="1"/>
      <c r="M4" s="1"/>
      <c r="N4" s="1"/>
      <c r="O4" s="1"/>
      <c r="P4" s="1"/>
      <c r="Q4" s="1"/>
      <c r="R4" s="1"/>
      <c r="S4" s="1"/>
      <c r="T4" s="1"/>
      <c r="U4" s="1"/>
      <c r="V4" s="1"/>
      <c r="W4" s="1"/>
      <c r="X4" s="1"/>
      <c r="Y4" s="1"/>
      <c r="Z4" s="1"/>
      <c r="AA4" s="1"/>
      <c r="AB4" s="1"/>
      <c r="AC4" s="1"/>
      <c r="AD4" s="1"/>
    </row>
    <row r="5" spans="1:30" ht="9.75" customHeight="1">
      <c r="A5" s="1"/>
      <c r="B5" s="1"/>
      <c r="C5" s="1"/>
      <c r="D5" s="1"/>
      <c r="E5" s="1"/>
      <c r="F5" s="4"/>
      <c r="G5" s="1"/>
      <c r="H5" s="1"/>
      <c r="I5" s="1"/>
      <c r="J5" s="1"/>
      <c r="K5" s="1"/>
      <c r="L5" s="1"/>
      <c r="M5" s="1"/>
      <c r="N5" s="1"/>
      <c r="O5" s="1"/>
      <c r="P5" s="1"/>
      <c r="Q5" s="1"/>
      <c r="R5" s="1"/>
      <c r="S5" s="1"/>
      <c r="T5" s="1"/>
      <c r="U5" s="1"/>
      <c r="V5" s="1"/>
      <c r="W5" s="1"/>
      <c r="X5" s="1"/>
      <c r="Y5" s="1"/>
      <c r="Z5" s="1"/>
      <c r="AA5" s="1"/>
      <c r="AB5" s="1"/>
      <c r="AC5" s="1"/>
      <c r="AD5" s="1"/>
    </row>
    <row r="6" spans="1:30" ht="21.75" customHeight="1">
      <c r="A6" s="72"/>
      <c r="B6" s="73" t="s">
        <v>25</v>
      </c>
      <c r="C6" s="74"/>
      <c r="D6" s="75"/>
      <c r="E6" s="76"/>
      <c r="F6" s="75"/>
      <c r="G6" s="75"/>
      <c r="H6" s="75"/>
      <c r="I6" s="75"/>
      <c r="J6" s="75"/>
      <c r="K6" s="75"/>
      <c r="L6" s="75"/>
      <c r="M6" s="77"/>
      <c r="N6" s="68" t="e">
        <f>#REF!</f>
        <v>#REF!</v>
      </c>
      <c r="O6" s="67" t="e">
        <f t="shared" ref="O6:AD6" si="0">N6+1</f>
        <v>#REF!</v>
      </c>
      <c r="P6" s="67" t="e">
        <f t="shared" si="0"/>
        <v>#REF!</v>
      </c>
      <c r="Q6" s="67" t="e">
        <f t="shared" si="0"/>
        <v>#REF!</v>
      </c>
      <c r="R6" s="67" t="e">
        <f t="shared" si="0"/>
        <v>#REF!</v>
      </c>
      <c r="S6" s="67" t="e">
        <f t="shared" si="0"/>
        <v>#REF!</v>
      </c>
      <c r="T6" s="67" t="e">
        <f t="shared" si="0"/>
        <v>#REF!</v>
      </c>
      <c r="U6" s="67" t="e">
        <f t="shared" si="0"/>
        <v>#REF!</v>
      </c>
      <c r="V6" s="67" t="e">
        <f t="shared" si="0"/>
        <v>#REF!</v>
      </c>
      <c r="W6" s="67" t="e">
        <f t="shared" si="0"/>
        <v>#REF!</v>
      </c>
      <c r="X6" s="67" t="e">
        <f t="shared" si="0"/>
        <v>#REF!</v>
      </c>
      <c r="Y6" s="67" t="e">
        <f t="shared" si="0"/>
        <v>#REF!</v>
      </c>
      <c r="Z6" s="67" t="e">
        <f t="shared" si="0"/>
        <v>#REF!</v>
      </c>
      <c r="AA6" s="67" t="e">
        <f t="shared" si="0"/>
        <v>#REF!</v>
      </c>
      <c r="AB6" s="67" t="e">
        <f t="shared" si="0"/>
        <v>#REF!</v>
      </c>
      <c r="AC6" s="67" t="e">
        <f t="shared" si="0"/>
        <v>#REF!</v>
      </c>
      <c r="AD6" s="67" t="e">
        <f t="shared" si="0"/>
        <v>#REF!</v>
      </c>
    </row>
    <row r="7" spans="1:30">
      <c r="A7" s="69"/>
      <c r="B7" s="3"/>
      <c r="C7" s="19"/>
      <c r="D7" s="70"/>
      <c r="E7" s="71"/>
      <c r="F7" s="70"/>
      <c r="G7" s="70"/>
      <c r="H7" s="70"/>
      <c r="I7" s="70"/>
      <c r="J7" s="70"/>
      <c r="K7" s="70"/>
      <c r="L7" s="70"/>
      <c r="M7" s="39"/>
      <c r="N7" s="51"/>
      <c r="O7" s="51"/>
      <c r="P7" s="51"/>
      <c r="Q7" s="51"/>
      <c r="R7" s="51"/>
      <c r="S7" s="51"/>
      <c r="T7" s="51"/>
      <c r="U7" s="51"/>
      <c r="V7" s="51"/>
      <c r="W7" s="51"/>
      <c r="X7" s="51"/>
      <c r="Y7" s="51"/>
      <c r="Z7" s="51"/>
      <c r="AA7" s="51"/>
      <c r="AB7" s="51"/>
      <c r="AC7" s="51"/>
      <c r="AD7" s="51"/>
    </row>
    <row r="8" spans="1:30">
      <c r="A8" s="46"/>
      <c r="B8" s="3"/>
      <c r="C8" s="3"/>
      <c r="D8" s="19"/>
      <c r="E8" s="52" t="s">
        <v>26</v>
      </c>
      <c r="F8" s="52" t="s">
        <v>27</v>
      </c>
      <c r="G8" s="52"/>
      <c r="H8" s="52" t="s">
        <v>28</v>
      </c>
      <c r="I8" s="3"/>
      <c r="J8" s="52" t="s">
        <v>29</v>
      </c>
      <c r="K8" s="52"/>
      <c r="L8" s="52" t="s">
        <v>30</v>
      </c>
      <c r="M8" s="53"/>
      <c r="N8" s="54"/>
      <c r="O8" s="54"/>
      <c r="P8" s="55"/>
      <c r="Q8" s="54"/>
      <c r="R8" s="54"/>
      <c r="S8" s="54"/>
      <c r="T8" s="54"/>
      <c r="U8" s="54"/>
      <c r="V8" s="54"/>
      <c r="W8" s="54"/>
      <c r="X8" s="54"/>
      <c r="Y8" s="54"/>
      <c r="Z8" s="54"/>
      <c r="AA8" s="54"/>
      <c r="AB8" s="54"/>
      <c r="AC8" s="54"/>
      <c r="AD8" s="54"/>
    </row>
    <row r="9" spans="1:30">
      <c r="A9" s="46"/>
      <c r="B9" s="3"/>
      <c r="C9" s="52"/>
      <c r="D9" s="52"/>
      <c r="E9" s="52" t="s">
        <v>31</v>
      </c>
      <c r="F9" s="52" t="s">
        <v>32</v>
      </c>
      <c r="G9" s="3"/>
      <c r="H9" s="52" t="s">
        <v>33</v>
      </c>
      <c r="I9" s="3"/>
      <c r="J9" s="52" t="s">
        <v>34</v>
      </c>
      <c r="K9" s="52"/>
      <c r="L9" s="52" t="s">
        <v>35</v>
      </c>
      <c r="M9" s="53"/>
      <c r="N9" s="54"/>
      <c r="O9" s="54"/>
      <c r="P9" s="54"/>
      <c r="Q9" s="54"/>
      <c r="R9" s="54"/>
      <c r="S9" s="54"/>
      <c r="T9" s="54"/>
      <c r="U9" s="54"/>
      <c r="V9" s="54"/>
      <c r="W9" s="54"/>
      <c r="X9" s="54"/>
      <c r="Y9" s="54"/>
      <c r="Z9" s="54"/>
      <c r="AA9" s="54"/>
      <c r="AB9" s="54"/>
      <c r="AC9" s="54"/>
      <c r="AD9" s="54"/>
    </row>
    <row r="10" spans="1:30">
      <c r="A10" s="46"/>
      <c r="B10" s="3"/>
      <c r="C10" s="52"/>
      <c r="D10" s="52"/>
      <c r="E10" s="52"/>
      <c r="F10" s="52" t="s">
        <v>36</v>
      </c>
      <c r="G10" s="3"/>
      <c r="H10" s="52" t="s">
        <v>37</v>
      </c>
      <c r="I10" s="3"/>
      <c r="J10" s="52" t="s">
        <v>38</v>
      </c>
      <c r="K10" s="52"/>
      <c r="L10" s="52" t="s">
        <v>39</v>
      </c>
      <c r="M10" s="39"/>
      <c r="N10" s="54"/>
      <c r="O10" s="54"/>
      <c r="P10" s="54"/>
      <c r="Q10" s="54"/>
      <c r="R10" s="54"/>
      <c r="S10" s="54"/>
      <c r="T10" s="54"/>
      <c r="U10" s="54"/>
      <c r="V10" s="54"/>
      <c r="W10" s="54"/>
      <c r="X10" s="54"/>
      <c r="Y10" s="54"/>
      <c r="Z10" s="54"/>
      <c r="AA10" s="54"/>
      <c r="AB10" s="54"/>
      <c r="AC10" s="54"/>
      <c r="AD10" s="54"/>
    </row>
    <row r="11" spans="1:30" s="7" customFormat="1" ht="34.5" customHeight="1">
      <c r="A11" s="40"/>
      <c r="B11" s="3"/>
      <c r="C11" s="3"/>
      <c r="D11" s="2"/>
      <c r="E11" s="52"/>
      <c r="F11" s="52"/>
      <c r="G11" s="3"/>
      <c r="H11" s="3"/>
      <c r="I11" s="3"/>
      <c r="J11" s="50">
        <v>0</v>
      </c>
      <c r="K11" s="12"/>
      <c r="L11" s="12"/>
      <c r="M11" s="56"/>
      <c r="N11" s="57"/>
      <c r="O11" s="57"/>
      <c r="P11" s="57"/>
      <c r="Q11" s="57"/>
      <c r="R11" s="57"/>
      <c r="S11" s="57"/>
      <c r="T11" s="57"/>
      <c r="U11" s="57"/>
      <c r="V11" s="57"/>
      <c r="W11" s="57"/>
      <c r="X11" s="57"/>
      <c r="Y11" s="57"/>
      <c r="Z11" s="57"/>
      <c r="AA11" s="57"/>
      <c r="AB11" s="57"/>
      <c r="AC11" s="57"/>
      <c r="AD11" s="57"/>
    </row>
    <row r="12" spans="1:30" s="7" customFormat="1" ht="34.5" customHeight="1">
      <c r="A12" s="41"/>
      <c r="B12" s="58" t="s">
        <v>40</v>
      </c>
      <c r="C12" s="58" t="s">
        <v>41</v>
      </c>
      <c r="D12" s="58"/>
      <c r="E12" s="59" t="s">
        <v>42</v>
      </c>
      <c r="F12" s="59">
        <v>0</v>
      </c>
      <c r="G12" s="58"/>
      <c r="H12" s="58" t="e">
        <f>#REF!</f>
        <v>#REF!</v>
      </c>
      <c r="I12" s="58"/>
      <c r="J12" s="58" t="e">
        <f>H12*(1+$J$11)</f>
        <v>#REF!</v>
      </c>
      <c r="K12" s="58"/>
      <c r="L12" s="58">
        <f>IFERROR(ROUND((J12-H12)/F12,0),0)</f>
        <v>0</v>
      </c>
      <c r="M12" s="60"/>
      <c r="N12" s="61"/>
      <c r="O12" s="61"/>
      <c r="P12" s="61"/>
      <c r="Q12" s="61"/>
      <c r="R12" s="61"/>
      <c r="S12" s="61"/>
      <c r="T12" s="61"/>
      <c r="U12" s="61"/>
      <c r="V12" s="61"/>
      <c r="W12" s="61"/>
      <c r="X12" s="61"/>
      <c r="Y12" s="61"/>
      <c r="Z12" s="61"/>
      <c r="AA12" s="61"/>
      <c r="AB12" s="61"/>
      <c r="AC12" s="61"/>
      <c r="AD12" s="61"/>
    </row>
    <row r="13" spans="1:30" s="7" customFormat="1" ht="34.5" customHeight="1">
      <c r="A13" s="40"/>
      <c r="B13" s="2" t="s">
        <v>43</v>
      </c>
      <c r="C13" s="2" t="s">
        <v>44</v>
      </c>
      <c r="D13" s="2"/>
      <c r="E13" s="16" t="s">
        <v>42</v>
      </c>
      <c r="F13" s="16" t="e">
        <f>+#REF!</f>
        <v>#REF!</v>
      </c>
      <c r="G13" s="2"/>
      <c r="H13" s="2" t="e">
        <f>+#REF!</f>
        <v>#REF!</v>
      </c>
      <c r="I13" s="2"/>
      <c r="J13" s="2" t="e">
        <f>H13*(1+$J$11)</f>
        <v>#REF!</v>
      </c>
      <c r="K13" s="2"/>
      <c r="L13" s="2">
        <f>IFERROR(ROUND((J13-H13)/F13,0),0)</f>
        <v>0</v>
      </c>
      <c r="M13" s="24"/>
      <c r="N13" s="57"/>
      <c r="O13" s="57" t="e">
        <f>+H13/F13</f>
        <v>#REF!</v>
      </c>
      <c r="P13" s="57" t="e">
        <f>+O13</f>
        <v>#REF!</v>
      </c>
      <c r="Q13" s="57" t="e">
        <f t="shared" ref="Q13:AD13" si="1">+P13</f>
        <v>#REF!</v>
      </c>
      <c r="R13" s="57" t="e">
        <f t="shared" si="1"/>
        <v>#REF!</v>
      </c>
      <c r="S13" s="57" t="e">
        <f t="shared" si="1"/>
        <v>#REF!</v>
      </c>
      <c r="T13" s="57" t="e">
        <f t="shared" si="1"/>
        <v>#REF!</v>
      </c>
      <c r="U13" s="57" t="e">
        <f t="shared" si="1"/>
        <v>#REF!</v>
      </c>
      <c r="V13" s="57" t="e">
        <f t="shared" si="1"/>
        <v>#REF!</v>
      </c>
      <c r="W13" s="57" t="e">
        <f t="shared" si="1"/>
        <v>#REF!</v>
      </c>
      <c r="X13" s="57" t="e">
        <f t="shared" si="1"/>
        <v>#REF!</v>
      </c>
      <c r="Y13" s="57" t="e">
        <f t="shared" si="1"/>
        <v>#REF!</v>
      </c>
      <c r="Z13" s="57" t="e">
        <f t="shared" si="1"/>
        <v>#REF!</v>
      </c>
      <c r="AA13" s="57" t="e">
        <f t="shared" si="1"/>
        <v>#REF!</v>
      </c>
      <c r="AB13" s="57" t="e">
        <f t="shared" si="1"/>
        <v>#REF!</v>
      </c>
      <c r="AC13" s="57" t="e">
        <f t="shared" si="1"/>
        <v>#REF!</v>
      </c>
      <c r="AD13" s="57" t="e">
        <f t="shared" si="1"/>
        <v>#REF!</v>
      </c>
    </row>
    <row r="14" spans="1:30" s="7" customFormat="1" ht="34.5" customHeight="1">
      <c r="A14" s="41"/>
      <c r="B14" s="58" t="s">
        <v>45</v>
      </c>
      <c r="C14" s="58" t="s">
        <v>5</v>
      </c>
      <c r="D14" s="58"/>
      <c r="E14" s="59" t="s">
        <v>42</v>
      </c>
      <c r="F14" s="16" t="e">
        <f>+#REF!</f>
        <v>#REF!</v>
      </c>
      <c r="G14" s="58"/>
      <c r="H14" s="2" t="e">
        <f>+#REF!</f>
        <v>#REF!</v>
      </c>
      <c r="I14" s="58"/>
      <c r="J14" s="58" t="e">
        <f>H14*(1+$J$11)</f>
        <v>#REF!</v>
      </c>
      <c r="K14" s="58"/>
      <c r="L14" s="58">
        <f>IFERROR(ROUND((J14-H14)/F14,0),0)</f>
        <v>0</v>
      </c>
      <c r="M14" s="60"/>
      <c r="N14" s="61"/>
      <c r="O14" s="57" t="e">
        <f>+H14/F14</f>
        <v>#REF!</v>
      </c>
      <c r="P14" s="57" t="e">
        <f t="shared" ref="P14:AD15" si="2">+O14</f>
        <v>#REF!</v>
      </c>
      <c r="Q14" s="57" t="e">
        <f t="shared" si="2"/>
        <v>#REF!</v>
      </c>
      <c r="R14" s="57" t="e">
        <f t="shared" si="2"/>
        <v>#REF!</v>
      </c>
      <c r="S14" s="57" t="e">
        <f t="shared" si="2"/>
        <v>#REF!</v>
      </c>
      <c r="T14" s="57" t="e">
        <f t="shared" si="2"/>
        <v>#REF!</v>
      </c>
      <c r="U14" s="57" t="e">
        <f t="shared" si="2"/>
        <v>#REF!</v>
      </c>
      <c r="V14" s="57" t="e">
        <f t="shared" si="2"/>
        <v>#REF!</v>
      </c>
      <c r="W14" s="57" t="e">
        <f t="shared" si="2"/>
        <v>#REF!</v>
      </c>
      <c r="X14" s="57" t="e">
        <f t="shared" si="2"/>
        <v>#REF!</v>
      </c>
      <c r="Y14" s="57" t="e">
        <f t="shared" si="2"/>
        <v>#REF!</v>
      </c>
      <c r="Z14" s="57" t="e">
        <f t="shared" si="2"/>
        <v>#REF!</v>
      </c>
      <c r="AA14" s="57" t="e">
        <f t="shared" si="2"/>
        <v>#REF!</v>
      </c>
      <c r="AB14" s="57" t="e">
        <f t="shared" si="2"/>
        <v>#REF!</v>
      </c>
      <c r="AC14" s="57" t="e">
        <f t="shared" si="2"/>
        <v>#REF!</v>
      </c>
      <c r="AD14" s="57" t="e">
        <f t="shared" si="2"/>
        <v>#REF!</v>
      </c>
    </row>
    <row r="15" spans="1:30" s="7" customFormat="1" ht="34.5" customHeight="1">
      <c r="A15" s="40"/>
      <c r="B15" s="2" t="s">
        <v>46</v>
      </c>
      <c r="C15" s="2" t="s">
        <v>47</v>
      </c>
      <c r="D15" s="2"/>
      <c r="E15" s="16" t="s">
        <v>42</v>
      </c>
      <c r="F15" s="16" t="e">
        <f>+#REF!</f>
        <v>#REF!</v>
      </c>
      <c r="G15" s="2"/>
      <c r="H15" s="2" t="e">
        <f>+#REF!</f>
        <v>#REF!</v>
      </c>
      <c r="I15" s="2"/>
      <c r="J15" s="2" t="e">
        <f>H15*(1+$J$11)</f>
        <v>#REF!</v>
      </c>
      <c r="K15" s="2"/>
      <c r="L15" s="2">
        <f>IFERROR(ROUND((J15-H15)/F15,0),0)</f>
        <v>0</v>
      </c>
      <c r="M15" s="24"/>
      <c r="N15" s="57"/>
      <c r="O15" s="57" t="e">
        <f>+H15/F15</f>
        <v>#REF!</v>
      </c>
      <c r="P15" s="57" t="e">
        <f t="shared" si="2"/>
        <v>#REF!</v>
      </c>
      <c r="Q15" s="57" t="e">
        <f t="shared" si="2"/>
        <v>#REF!</v>
      </c>
      <c r="R15" s="57" t="e">
        <f t="shared" si="2"/>
        <v>#REF!</v>
      </c>
      <c r="S15" s="57" t="e">
        <f t="shared" si="2"/>
        <v>#REF!</v>
      </c>
      <c r="T15" s="57" t="e">
        <f t="shared" si="2"/>
        <v>#REF!</v>
      </c>
      <c r="U15" s="57" t="e">
        <f t="shared" si="2"/>
        <v>#REF!</v>
      </c>
      <c r="V15" s="57" t="e">
        <f t="shared" si="2"/>
        <v>#REF!</v>
      </c>
      <c r="W15" s="57" t="e">
        <f t="shared" si="2"/>
        <v>#REF!</v>
      </c>
      <c r="X15" s="57" t="e">
        <f t="shared" si="2"/>
        <v>#REF!</v>
      </c>
      <c r="Y15" s="57" t="e">
        <f t="shared" si="2"/>
        <v>#REF!</v>
      </c>
      <c r="Z15" s="57" t="e">
        <f t="shared" si="2"/>
        <v>#REF!</v>
      </c>
      <c r="AA15" s="57" t="e">
        <f t="shared" si="2"/>
        <v>#REF!</v>
      </c>
      <c r="AB15" s="57" t="e">
        <f t="shared" si="2"/>
        <v>#REF!</v>
      </c>
      <c r="AC15" s="57" t="e">
        <f t="shared" si="2"/>
        <v>#REF!</v>
      </c>
      <c r="AD15" s="57" t="e">
        <f t="shared" si="2"/>
        <v>#REF!</v>
      </c>
    </row>
    <row r="16" spans="1:30" s="7" customFormat="1" ht="34.5" customHeight="1">
      <c r="A16" s="62"/>
      <c r="B16" s="63"/>
      <c r="C16" s="63" t="s">
        <v>48</v>
      </c>
      <c r="D16" s="63"/>
      <c r="E16" s="63"/>
      <c r="F16" s="64"/>
      <c r="G16" s="63"/>
      <c r="H16" s="63"/>
      <c r="I16" s="63"/>
      <c r="J16" s="63"/>
      <c r="K16" s="63"/>
      <c r="L16" s="63"/>
      <c r="M16" s="65"/>
      <c r="N16" s="65"/>
      <c r="O16" s="66" t="e">
        <f>SUM(O13:O15)</f>
        <v>#REF!</v>
      </c>
      <c r="P16" s="66" t="e">
        <f t="shared" ref="P16:AD16" si="3">SUM(P13:P15)</f>
        <v>#REF!</v>
      </c>
      <c r="Q16" s="66" t="e">
        <f t="shared" si="3"/>
        <v>#REF!</v>
      </c>
      <c r="R16" s="66" t="e">
        <f t="shared" si="3"/>
        <v>#REF!</v>
      </c>
      <c r="S16" s="66" t="e">
        <f t="shared" si="3"/>
        <v>#REF!</v>
      </c>
      <c r="T16" s="66" t="e">
        <f t="shared" si="3"/>
        <v>#REF!</v>
      </c>
      <c r="U16" s="66" t="e">
        <f t="shared" si="3"/>
        <v>#REF!</v>
      </c>
      <c r="V16" s="66" t="e">
        <f t="shared" si="3"/>
        <v>#REF!</v>
      </c>
      <c r="W16" s="66" t="e">
        <f t="shared" si="3"/>
        <v>#REF!</v>
      </c>
      <c r="X16" s="66" t="e">
        <f t="shared" si="3"/>
        <v>#REF!</v>
      </c>
      <c r="Y16" s="66" t="e">
        <f t="shared" si="3"/>
        <v>#REF!</v>
      </c>
      <c r="Z16" s="66" t="e">
        <f t="shared" si="3"/>
        <v>#REF!</v>
      </c>
      <c r="AA16" s="66" t="e">
        <f t="shared" si="3"/>
        <v>#REF!</v>
      </c>
      <c r="AB16" s="66" t="e">
        <f t="shared" si="3"/>
        <v>#REF!</v>
      </c>
      <c r="AC16" s="66" t="e">
        <f t="shared" si="3"/>
        <v>#REF!</v>
      </c>
      <c r="AD16" s="66" t="e">
        <f t="shared" si="3"/>
        <v>#REF!</v>
      </c>
    </row>
  </sheetData>
  <sheetProtection selectLockedCells="1" selectUnlockedCells="1"/>
  <mergeCells count="2">
    <mergeCell ref="K2:L2"/>
    <mergeCell ref="D2:H2"/>
  </mergeCells>
  <pageMargins left="0.6692913385826772" right="0.39370078740157483" top="1.1023622047244095" bottom="0.59055118110236227" header="0.31496062992125984" footer="0.31496062992125984"/>
  <pageSetup paperSize="8" scale="61" orientation="landscape" r:id="rId1"/>
  <headerFooter scaleWithDoc="0">
    <oddHeader>&amp;L&amp;"Arial,Fett"&amp;18&amp;G</oddHeader>
    <oddFooter>&amp;C&amp;11 - vertraulich -&amp;R&amp;11Seite 13</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fc5e474-f792-40ff-81f8-a7d044b724c7" xsi:nil="true"/>
    <lcf76f155ced4ddcb4097134ff3c332f xmlns="e44412f5-2aa2-49e1-a8a2-e5b7c8d9a3e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B949290821C364386A1FAB83A0DD9EF" ma:contentTypeVersion="15" ma:contentTypeDescription="Ein neues Dokument erstellen." ma:contentTypeScope="" ma:versionID="1932046bdb54709eef3e2b1f808e8701">
  <xsd:schema xmlns:xsd="http://www.w3.org/2001/XMLSchema" xmlns:xs="http://www.w3.org/2001/XMLSchema" xmlns:p="http://schemas.microsoft.com/office/2006/metadata/properties" xmlns:ns2="e44412f5-2aa2-49e1-a8a2-e5b7c8d9a3ed" xmlns:ns3="8fc5e474-f792-40ff-81f8-a7d044b724c7" targetNamespace="http://schemas.microsoft.com/office/2006/metadata/properties" ma:root="true" ma:fieldsID="415299a1bc2bee3d4d2d08791d60d723" ns2:_="" ns3:_="">
    <xsd:import namespace="e44412f5-2aa2-49e1-a8a2-e5b7c8d9a3ed"/>
    <xsd:import namespace="8fc5e474-f792-40ff-81f8-a7d044b724c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4412f5-2aa2-49e1-a8a2-e5b7c8d9a3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81b08bc3-b298-4955-a31e-4e3a7b5f5a64"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c5e474-f792-40ff-81f8-a7d044b724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ef9275e-8be5-44a6-a9b2-46d5744e10ca}" ma:internalName="TaxCatchAll" ma:showField="CatchAllData" ma:web="8fc5e474-f792-40ff-81f8-a7d044b724c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BSO999929 xmlns="http://www.datev.de/BSOffice/999929">87fb9e91-85ee-49d1-8586-a6362dae6255</BSO999929>
</file>

<file path=customXml/itemProps1.xml><?xml version="1.0" encoding="utf-8"?>
<ds:datastoreItem xmlns:ds="http://schemas.openxmlformats.org/officeDocument/2006/customXml" ds:itemID="{37F8EEEC-D6ED-4706-AF38-D7F0D053D21F}">
  <ds:schemaRefs>
    <ds:schemaRef ds:uri="http://purl.org/dc/dcmitype/"/>
    <ds:schemaRef ds:uri="http://purl.org/dc/elements/1.1/"/>
    <ds:schemaRef ds:uri="http://schemas.microsoft.com/office/2006/documentManagement/types"/>
    <ds:schemaRef ds:uri="e44412f5-2aa2-49e1-a8a2-e5b7c8d9a3ed"/>
    <ds:schemaRef ds:uri="http://schemas.openxmlformats.org/package/2006/metadata/core-properties"/>
    <ds:schemaRef ds:uri="http://schemas.microsoft.com/office/2006/metadata/properties"/>
    <ds:schemaRef ds:uri="http://purl.org/dc/terms/"/>
    <ds:schemaRef ds:uri="http://schemas.microsoft.com/office/infopath/2007/PartnerControls"/>
    <ds:schemaRef ds:uri="8fc5e474-f792-40ff-81f8-a7d044b724c7"/>
    <ds:schemaRef ds:uri="http://www.w3.org/XML/1998/namespace"/>
  </ds:schemaRefs>
</ds:datastoreItem>
</file>

<file path=customXml/itemProps2.xml><?xml version="1.0" encoding="utf-8"?>
<ds:datastoreItem xmlns:ds="http://schemas.openxmlformats.org/officeDocument/2006/customXml" ds:itemID="{417EE60E-5BF4-48E4-AB17-F4DE135A17F5}">
  <ds:schemaRefs>
    <ds:schemaRef ds:uri="http://schemas.microsoft.com/sharepoint/v3/contenttype/forms"/>
  </ds:schemaRefs>
</ds:datastoreItem>
</file>

<file path=customXml/itemProps3.xml><?xml version="1.0" encoding="utf-8"?>
<ds:datastoreItem xmlns:ds="http://schemas.openxmlformats.org/officeDocument/2006/customXml" ds:itemID="{5D0CD9D2-022B-4827-B356-96CAF337EB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4412f5-2aa2-49e1-a8a2-e5b7c8d9a3ed"/>
    <ds:schemaRef ds:uri="8fc5e474-f792-40ff-81f8-a7d044b724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FC56558-19A0-4D72-A504-27B36D8887F0}">
  <ds:schemaRefs>
    <ds:schemaRef ds:uri="http://www.datev.de/BSOffice/99992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4</vt:i4>
      </vt:variant>
    </vt:vector>
  </HeadingPairs>
  <TitlesOfParts>
    <vt:vector size="13" baseType="lpstr">
      <vt:lpstr>Zugelassene Speditionen</vt:lpstr>
      <vt:lpstr>Zugelassene Lieferanten</vt:lpstr>
      <vt:lpstr>Informationen zu Lieferanten</vt:lpstr>
      <vt:lpstr>Informationen zu Kunden</vt:lpstr>
      <vt:lpstr>Rückverfolgbarkeitsprobe Liefer</vt:lpstr>
      <vt:lpstr>Rückverfolgbarkeitsprobe Kunde</vt:lpstr>
      <vt:lpstr>Hilfstabellen</vt:lpstr>
      <vt:lpstr>G&amp;V</vt:lpstr>
      <vt:lpstr>AfA</vt:lpstr>
      <vt:lpstr>'G&amp;V'!Druckbereich</vt:lpstr>
      <vt:lpstr>'Informationen zu Lieferanten'!Druckbereich</vt:lpstr>
      <vt:lpstr>AfA!Print_Area</vt:lpstr>
      <vt:lpstr>'G&amp;V'!Print_Area</vt:lpstr>
    </vt:vector>
  </TitlesOfParts>
  <Manager/>
  <Company>PROLiGNIS Energie Consulting GmbH &amp; Co. KG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ProjektErfolgsPrognose</dc:title>
  <dc:subject/>
  <dc:creator>tobias.soeltl@prolignis.de</dc:creator>
  <cp:keywords/>
  <dc:description/>
  <cp:lastModifiedBy>Helena Spenger</cp:lastModifiedBy>
  <cp:revision/>
  <cp:lastPrinted>2025-08-04T10:21:56Z</cp:lastPrinted>
  <dcterms:created xsi:type="dcterms:W3CDTF">2010-05-06T09:28:14Z</dcterms:created>
  <dcterms:modified xsi:type="dcterms:W3CDTF">2026-03-10T10:40:23Z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0x010100AB949290821C364386A1FAB83A0DD9EF</vt:lpwstr>
  </property>
  <property fmtid="{D5CDD505-2E9C-101B-9397-08002B2CF9AE}" pid="3" name="MediaServiceImageTags">
    <vt:lpwstr/>
  </property>
</Properties>
</file>